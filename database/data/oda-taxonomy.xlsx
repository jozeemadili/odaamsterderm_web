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15.xml" ContentType="application/vnd.openxmlformats-officedocument.spreadsheetml.comments+xml"/>
  <Override PartName="/xl/styles.xml" ContentType="application/vnd.openxmlformats-officedocument.spreadsheetml.styles+xml"/>
  <Override PartName="/xl/worksheets/_rels/sheet14.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7.xml.rels" ContentType="application/vnd.openxmlformats-package.relationships+xml"/>
  <Override PartName="/xl/worksheets/_rels/sheet12.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15.xml.rels" ContentType="application/vnd.openxmlformats-package.relationships+xml"/>
  <Override PartName="/xl/worksheets/_rels/sheet19.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vmlDrawing2.vml" ContentType="application/vnd.openxmlformats-officedocument.vmlDrawing"/>
  <Override PartName="/xl/drawings/drawing3.xml" ContentType="application/vnd.openxmlformats-officedocument.drawing+xml"/>
  <Override PartName="/xl/drawings/drawing12.xml" ContentType="application/vnd.openxmlformats-officedocument.drawing+xml"/>
  <Override PartName="/xl/drawings/vmlDrawing1.vml" ContentType="application/vnd.openxmlformats-officedocument.vmlDrawing"/>
  <Override PartName="/xl/drawings/drawing11.xml" ContentType="application/vnd.openxmlformats-officedocument.drawing+xml"/>
  <Override PartName="/xl/drawings/drawing2.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vmlDrawing3.vml" ContentType="application/vnd.openxmlformats-officedocument.vmlDrawing"/>
  <Override PartName="/xl/drawings/drawing13.xml" ContentType="application/vnd.openxmlformats-officedocument.drawing+xml"/>
  <Override PartName="/xl/drawings/drawing4.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xml" ContentType="application/vnd.openxmlformats-officedocument.drawing+xml"/>
  <Override PartName="/xl/drawings/drawing10.xml" ContentType="application/vnd.openxmlformats-officedocument.drawing+xml"/>
  <Override PartName="/xl/drawings/drawing16.xml" ContentType="application/vnd.openxmlformats-officedocument.drawing+xml"/>
  <Override PartName="/xl/drawings/drawing7.xml" ContentType="application/vnd.openxmlformats-officedocument.drawing+xml"/>
  <Override PartName="/xl/drawings/drawing17.xml" ContentType="application/vnd.openxmlformats-officedocument.drawing+xml"/>
  <Override PartName="/xl/drawings/drawing8.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Animal_Types" sheetId="2" state="visible" r:id="rId4"/>
    <sheet name="Life_Stages" sheetId="3" state="visible" r:id="rId5"/>
    <sheet name="Categories" sheetId="4" state="visible" r:id="rId6"/>
    <sheet name="Attributes" sheetId="5" state="visible" r:id="rId7"/>
    <sheet name="Attribute_Values" sheetId="6" state="visible" r:id="rId8"/>
    <sheet name="Search_Keywords" sheetId="7" state="visible" r:id="rId9"/>
    <sheet name="Brands" sheetId="8" state="visible" r:id="rId10"/>
    <sheet name="Sellers" sheetId="9" state="visible" r:id="rId11"/>
    <sheet name="Regions" sheetId="10" state="visible" r:id="rId12"/>
    <sheet name="Stores" sheetId="11" state="visible" r:id="rId13"/>
    <sheet name="Products" sheetId="12" state="visible" r:id="rId14"/>
    <sheet name="Variants" sheetId="13" state="visible" r:id="rId15"/>
    <sheet name="Store_Inventory" sheetId="14" state="visible" r:id="rId16"/>
    <sheet name="Hatch_Schedule" sheetId="15" state="visible" r:id="rId17"/>
    <sheet name="Map_Categories" sheetId="16" state="visible" r:id="rId18"/>
    <sheet name="Map_Live_Products" sheetId="17" state="visible" r:id="rId19"/>
    <sheet name="Map_Stores_Sellers" sheetId="18" state="visible" r:id="rId20"/>
    <sheet name="Map_Oda_Chicks" sheetId="19" state="visible" r:id="rId21"/>
  </sheets>
  <definedNames>
    <definedName function="false" hidden="true" localSheetId="1" name="_xlnm._FilterDatabase" vbProcedure="false">Animal_Types!$A$1:$G$15</definedName>
    <definedName function="false" hidden="true" localSheetId="5" name="_xlnm._FilterDatabase" vbProcedure="false">Attribute_Values!$A$1:$D$119</definedName>
    <definedName function="false" hidden="true" localSheetId="4" name="_xlnm._FilterDatabase" vbProcedure="false">Attributes!$A$1:$I$45</definedName>
    <definedName function="false" hidden="true" localSheetId="7" name="_xlnm._FilterDatabase" vbProcedure="false">Brands!$A$1:$F$25</definedName>
    <definedName function="false" hidden="true" localSheetId="3" name="_xlnm._FilterDatabase" vbProcedure="false">Categories!$A$1:$K$39</definedName>
    <definedName function="false" hidden="true" localSheetId="14" name="_xlnm._FilterDatabase" vbProcedure="false">Hatch_Schedule!$A$1:$O$88</definedName>
    <definedName function="false" hidden="true" localSheetId="2" name="_xlnm._FilterDatabase" vbProcedure="false">Life_Stages!$A$1:$G$27</definedName>
    <definedName function="false" hidden="true" localSheetId="15" name="_xlnm._FilterDatabase" vbProcedure="false">Map_Categories!$A$1:$E$26</definedName>
    <definedName function="false" hidden="true" localSheetId="16" name="_xlnm._FilterDatabase" vbProcedure="false">Map_Live_Products!$A$1:$P$16</definedName>
    <definedName function="false" hidden="true" localSheetId="18" name="_xlnm._FilterDatabase" vbProcedure="false">Map_Oda_Chicks!$A$1:$F$28</definedName>
    <definedName function="false" hidden="true" localSheetId="17" name="_xlnm._FilterDatabase" vbProcedure="false">Map_Stores_Sellers!$A$1:$F$8</definedName>
    <definedName function="false" hidden="true" localSheetId="11" name="_xlnm._FilterDatabase" vbProcedure="false">Products!$A$1:$AH$116</definedName>
    <definedName function="false" hidden="true" localSheetId="9" name="_xlnm._FilterDatabase" vbProcedure="false">Regions!$A$1:$F$6</definedName>
    <definedName function="false" hidden="true" localSheetId="6" name="_xlnm._FilterDatabase" vbProcedure="false">Search_Keywords!$A$1:$E$76</definedName>
    <definedName function="false" hidden="true" localSheetId="8" name="_xlnm._FilterDatabase" vbProcedure="false">Sellers!$A$1:$I$13</definedName>
    <definedName function="false" hidden="true" localSheetId="13" name="_xlnm._FilterDatabase" vbProcedure="false">Store_Inventory!$A$1:$S$606</definedName>
    <definedName function="false" hidden="true" localSheetId="10" name="_xlnm._FilterDatabase" vbProcedure="false">Stores!$A$1:$AA$7</definedName>
    <definedName function="false" hidden="true" localSheetId="12" name="_xlnm._FilterDatabase" vbProcedure="false">Variants!$A$1:$M$151</definedName>
  </definedNames>
  <calcPr iterateCount="100" refMode="A1" iterate="false" iterateDelta="0.0001"/>
  <extLst>
    <ext xmlns:loext="http://schemas.libreoffice.org/" uri="{7626C862-2A13-11E5-B345-FEFF819CDC9F}">
      <loext:extCalcPr stringRefSyntax="ExcelA1"/>
    </ext>
  </extLst>
</workbook>
</file>

<file path=xl/comments11.xml><?xml version="1.0" encoding="utf-8"?>
<comments xmlns="http://schemas.openxmlformats.org/spreadsheetml/2006/main" xmlns:xdr="http://schemas.openxmlformats.org/drawingml/2006/spreadsheetDrawing">
  <authors>
    <author>Unknown Author</author>
  </authors>
  <commentList>
    <comment ref="AA1" authorId="0">
      <text>
        <r>
          <rPr>
            <sz val="10"/>
            <rFont val="Arial"/>
            <family val="2"/>
          </rPr>
          <t xml:space="preserve">Great-circle km from the Tegeta HQ row (row 2). Road distance is longer.</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S1" authorId="0">
      <text>
        <r>
          <rPr>
            <sz val="10"/>
            <rFont val="Arial"/>
            <family val="2"/>
          </rPr>
          <t xml:space="preserve">DUMMY - verify from registered label</t>
        </r>
      </text>
    </comment>
    <comment ref="T1" authorId="0">
      <text>
        <r>
          <rPr>
            <sz val="10"/>
            <rFont val="Arial"/>
            <family val="2"/>
          </rPr>
          <t xml:space="preserve">DUMMY - verify from registered label</t>
        </r>
      </text>
    </comment>
    <comment ref="U1" authorId="0">
      <text>
        <r>
          <rPr>
            <sz val="10"/>
            <rFont val="Arial"/>
            <family val="2"/>
          </rPr>
          <t xml:space="preserve">DUMMY - verify from registered label</t>
        </r>
      </text>
    </comment>
    <comment ref="W1" authorId="0">
      <text>
        <r>
          <rPr>
            <sz val="10"/>
            <rFont val="Arial"/>
            <family val="2"/>
          </rPr>
          <t xml:space="preserve">DUMMY - confirm per product against veterinary regulations</t>
        </r>
      </text>
    </comment>
    <comment ref="Z1" authorId="0">
      <text>
        <r>
          <rPr>
            <sz val="10"/>
            <rFont val="Arial"/>
            <family val="2"/>
          </rPr>
          <t xml:space="preserve">DUMMY - DEMO- prefix</t>
        </r>
      </text>
    </comment>
  </commentList>
</comments>
</file>

<file path=xl/comments15.xml><?xml version="1.0" encoding="utf-8"?>
<comments xmlns="http://schemas.openxmlformats.org/spreadsheetml/2006/main" xmlns:xdr="http://schemas.openxmlformats.org/drawingml/2006/spreadsheetDrawing">
  <authors>
    <author>Unknown Author</author>
  </authors>
  <commentList>
    <comment ref="G1" authorId="0">
      <text>
        <r>
          <rPr>
            <sz val="10"/>
            <rFont val="Arial"/>
            <family val="2"/>
          </rPr>
          <t xml:space="preserve">DUMMY prices</t>
        </r>
      </text>
    </comment>
    <comment ref="L1" authorId="0">
      <text>
        <r>
          <rPr>
            <sz val="10"/>
            <rFont val="Arial"/>
            <family val="2"/>
          </rPr>
          <t xml:space="preserve">DUMMY 60 TZS - rates still being negotiated (50-70 range)</t>
        </r>
      </text>
    </comment>
  </commentList>
</comments>
</file>

<file path=xl/sharedStrings.xml><?xml version="1.0" encoding="utf-8"?>
<sst xmlns="http://schemas.openxmlformats.org/spreadsheetml/2006/main" count="10599" uniqueCount="4007">
  <si>
    <t xml:space="preserve">Oda / Odaamsterderm Hub - Product Taxonomy &amp; Amsterdam Test Data</t>
  </si>
  <si>
    <t xml:space="preserve">Version 1 draft, 27 Oct 2026. Test data only - every price, stock level, address, phone, batch, registration number and clinical field is dummy.</t>
  </si>
  <si>
    <t xml:space="preserve">Reference date (test 'today')</t>
  </si>
  <si>
    <t xml:space="preserve">Expiry and stock-status formulas in Store_Inventory count days from this date. Change it to re-run scenarios.</t>
  </si>
  <si>
    <t xml:space="preserve">HOW THE TAXONOMY WORKS</t>
  </si>
  <si>
    <t xml:space="preserve">1. Category = what it is</t>
  </si>
  <si>
    <t xml:space="preserve">Each product has ONE primary category (max 2 levels). Category never encodes animal, life stage, brand or pack size.</t>
  </si>
  <si>
    <t xml:space="preserve">2. Animal type is multi-select</t>
  </si>
  <si>
    <t xml:space="preserve">Tag every animal the label covers, at the most specific level that is true (e.g. Albendazole = Cattle + Goats + Sheep). Filtering on a parent (Poultry, Cattle, Goats &amp; Sheep, Fish) must include its children.</t>
  </si>
  <si>
    <t xml:space="preserve">3. Life stage is an attribute</t>
  </si>
  <si>
    <t xml:space="preserve">Starter / Grower / Finisher / Laying are no longer sub-categories. They live in life_stages and depend on the animal (a pig 'grower' is LS-PIG-GRW, a chicken grower is LS-POU-GRW).</t>
  </si>
  <si>
    <t xml:space="preserve">4. Pack size is a variant</t>
  </si>
  <si>
    <t xml:space="preserve">One product, many SKUs (Vitamix Chick 30 g / 100 g / 250 g). Product names never contain pack size. Cross-seller comparison happens at SKU level.</t>
  </si>
  <si>
    <t xml:space="preserve">5. Brand vs producer vs seller</t>
  </si>
  <si>
    <t xml:space="preserve">Brand = name on the pack; producer = who made it; seller/store = who sells it. All three are separate fields.</t>
  </si>
  <si>
    <t xml:space="preserve">6. Category vs regulatory class</t>
  </si>
  <si>
    <t xml:space="preserve">Category answers 'what does it do'. regulatory_class + prescription_required answer 'how may it be sold'. Set them from registration status, never from packaging wording.</t>
  </si>
  <si>
    <t xml:space="preserve">7. Price and stock belong to the store</t>
  </si>
  <si>
    <t xml:space="preserve">The same SKU can have different prices and stock in Tegeta, Mbeya, Mwanza etc. Nothing price-related sits on the product.</t>
  </si>
  <si>
    <t xml:space="preserve">8. Search uses keywords + use cases</t>
  </si>
  <si>
    <t xml:space="preserve">search_keywords (pipe-separated, Kiswahili first) plus use_cases tags. Index 'ngombe' and 'ng'ombe' both. See Search_Keywords tab for the shared dictionary.</t>
  </si>
  <si>
    <t xml:space="preserve">9. Cold chain gating</t>
  </si>
  <si>
    <t xml:space="preserve">Products with cold_chain_required=TRUE may only be stocked/fulfilled by stores with cold_chain_capable=TRUE, and delivery must respect it.</t>
  </si>
  <si>
    <t xml:space="preserve">10. Chicks are booked, not stocked</t>
  </si>
  <si>
    <t xml:space="preserve">Day-old chicks (C7010) have no Store_Inventory rows. Each hatchery publishes hatch dates with price and fixed capacity in Hatch_Schedule; a date shows FULL when booked &gt;= capacity, as on Oda today. Minimum order 50 chicks.</t>
  </si>
  <si>
    <t xml:space="preserve">IMPORT ORDER (foreign keys)</t>
  </si>
  <si>
    <t xml:space="preserve">Animal_Types &gt; Life_Stages &gt; Categories &gt; Attributes / Attribute_Values &gt; Search_Keywords &gt; Brands &gt; Sellers &gt; Regions &gt; Stores &gt; Products &gt; Variants &gt; Store_Inventory &gt; Hatch_Schedule. Map_* tabs are for migrating the live catalogue.</t>
  </si>
  <si>
    <t xml:space="preserve">TABS</t>
  </si>
  <si>
    <t xml:space="preserve">Tab</t>
  </si>
  <si>
    <t xml:space="preserve">Purpose  (row count in column D)</t>
  </si>
  <si>
    <t xml:space="preserve">Rows</t>
  </si>
  <si>
    <t xml:space="preserve">Animal_Types</t>
  </si>
  <si>
    <t xml:space="preserve">Animal hierarchy (parent/child).</t>
  </si>
  <si>
    <t xml:space="preserve">Life_Stages</t>
  </si>
  <si>
    <t xml:space="preserve">Life stages per animal group.</t>
  </si>
  <si>
    <t xml:space="preserve">Categories</t>
  </si>
  <si>
    <t xml:space="preserve">Category tree with definitions and tie-break rules. 'status_vs_live' shows what changed.</t>
  </si>
  <si>
    <t xml:space="preserve">Attributes</t>
  </si>
  <si>
    <t xml:space="preserve">Every product / variant / store-inventory field: type, required-for, source of allowed values.</t>
  </si>
  <si>
    <t xml:space="preserve">Attribute_Values</t>
  </si>
  <si>
    <t xml:space="preserve">Allowed values (EN + SW) for every enum attribute.</t>
  </si>
  <si>
    <t xml:space="preserve">Search_Keywords</t>
  </si>
  <si>
    <t xml:space="preserve">Kiswahili/English search dictionary mapped to categories, animals, use cases and diseases.</t>
  </si>
  <si>
    <t xml:space="preserve">Brands</t>
  </si>
  <si>
    <t xml:space="preserve">Brands / producers. '(demo)' = fictional, following the live system's convention.</t>
  </si>
  <si>
    <t xml:space="preserve">Sellers</t>
  </si>
  <si>
    <t xml:space="preserve">Amsterdam Group plus the 11 hatcheries migrated from Oda.</t>
  </si>
  <si>
    <t xml:space="preserve">Regions</t>
  </si>
  <si>
    <t xml:space="preserve">Regions with city centroids (GeoNames). A region can hold several stores.</t>
  </si>
  <si>
    <t xml:space="preserve">Stores</t>
  </si>
  <si>
    <t xml:space="preserve">Amsterdam's 6 stores in 5 regions with bio (EN/SW), coordinates, hours, delivery settings and a distance-to-HQ formula.</t>
  </si>
  <si>
    <t xml:space="preserve">Products</t>
  </si>
  <si>
    <t xml:space="preserve">Catalogue products with all taxonomy fields filled.</t>
  </si>
  <si>
    <t xml:space="preserve">Variants</t>
  </si>
  <si>
    <t xml:space="preserve">SKUs: pack size, selling unit, shipping weight, dummy barcode, reference price.</t>
  </si>
  <si>
    <t xml:space="preserve">Store_Inventory</t>
  </si>
  <si>
    <t xml:space="preserve">Stock and price per store per SKU, with formula columns and deliberate test scenarios (column 'test_scenario'). No day-old chicks here.</t>
  </si>
  <si>
    <t xml:space="preserve">Hatch_Schedule</t>
  </si>
  <si>
    <t xml:space="preserve">Day-old chick availability: hatchery x SKU x hatch date with price, capacity, booked, FULL/Open/Closed status and Oda commission.</t>
  </si>
  <si>
    <t xml:space="preserve">Map_Categories</t>
  </si>
  <si>
    <t xml:space="preserve">Old live categories / animal types &gt; new taxonomy.</t>
  </si>
  <si>
    <t xml:space="preserve">Map_Live_Products</t>
  </si>
  <si>
    <t xml:space="preserve">The 15 products currently in the live shared catalogue &gt; new product, SKU, category and animals.</t>
  </si>
  <si>
    <t xml:space="preserve">Map_Stores_Sellers</t>
  </si>
  <si>
    <t xml:space="preserve">Live seller/store names &gt; new records, with decisions needed.</t>
  </si>
  <si>
    <t xml:space="preserve">Map_Oda_Chicks</t>
  </si>
  <si>
    <t xml:space="preserve">How each Oda concept (tenants, chick types, hatch schedule, CSV, commission) moves into the catalogue, in migration order, plus the 11 hatcheries x chick types.</t>
  </si>
  <si>
    <t xml:space="preserve">ASSUMPTIONS &amp; TO VERIFY</t>
  </si>
  <si>
    <t xml:space="preserve">Branch count</t>
  </si>
  <si>
    <t xml:space="preserve">Your message said four branches but listed Tegeta, Posta (both Dar es Salaam), Morogoro, Mbeya, Arusha and Mwanza. This file uses all six stores in five regions; delete rows if fewer are wanted.</t>
  </si>
  <si>
    <t xml:space="preserve">Coordinates</t>
  </si>
  <si>
    <t xml:space="preserve">Store points are approximate area locations (town centres from GeoNames, adjusted to the named area). Replace with each branch's real map pin before testing delivery routing.</t>
  </si>
  <si>
    <t xml:space="preserve">Addresses, phones, managers</t>
  </si>
  <si>
    <t xml:space="preserve">Dummy. Only the HQ phone and website come from the Amsterdam catalogue. Emails use example.com so no test message reaches a real inbox.</t>
  </si>
  <si>
    <t xml:space="preserve">Pig Protein Concentrate '20%'</t>
  </si>
  <si>
    <t xml:space="preserve">The bag says '20%' without saying whether it is crude protein or inclusion rate. Confirm with Amsterdam.</t>
  </si>
  <si>
    <t xml:space="preserve">Clinical &amp; regulatory fields</t>
  </si>
  <si>
    <t xml:space="preserve">Withdrawal periods, prescription flags, regulatory classes and registration numbers are placeholders for testing the fields only. Every medicine and vaccine must be checked against its registered label and the applicable veterinary regulations before go-live.</t>
  </si>
  <si>
    <t xml:space="preserve">Kiswahili terms</t>
  </si>
  <si>
    <t xml:space="preserve">Names and keywords are standard Kiswahili/sector usage but should be reviewed by the team; add local terms farmers actually type.</t>
  </si>
  <si>
    <t xml:space="preserve">Day-old chicks (decided 27 Oct)</t>
  </si>
  <si>
    <t xml:space="preserve">Chicks move into this catalogue via Hatch_Schedule. Hatchery names and chick types follow the Oda supplier roster; chick prices, capacities, hatch dates, the 60 TZS commission and storefront slugs are dummy or assumed.</t>
  </si>
  <si>
    <t xml:space="preserve">'Main' store (decided 27 Oct)</t>
  </si>
  <si>
    <t xml:space="preserve">Live store 'Amsterdem Group - Main' is the Tegeta HQ: rename and keep its stock and history under ST-AMS-TEG.</t>
  </si>
  <si>
    <t xml:space="preserve">Prices</t>
  </si>
  <si>
    <t xml:space="preserve">Dummy TZS prices, plausible for Oct 2026 but not market data. Regional multipliers: Posta +3%, Morogoro +2%, Mbeya/Arusha +5%, Mwanza +7%; raw materials cheaper in Mbeya/Morogoro; fish inputs cheaper in Mwanza.</t>
  </si>
  <si>
    <t xml:space="preserve">animal_id</t>
  </si>
  <si>
    <t xml:space="preserve">parent_id</t>
  </si>
  <si>
    <t xml:space="preserve">slug</t>
  </si>
  <si>
    <t xml:space="preserve">name_en</t>
  </si>
  <si>
    <t xml:space="preserve">name_sw</t>
  </si>
  <si>
    <t xml:space="preserve">status_vs_live</t>
  </si>
  <si>
    <t xml:space="preserve">notes</t>
  </si>
  <si>
    <t xml:space="preserve">AN-POU</t>
  </si>
  <si>
    <t xml:space="preserve">poultry</t>
  </si>
  <si>
    <t xml:space="preserve">Poultry</t>
  </si>
  <si>
    <t xml:space="preserve">Kuku na ndege wafugwao</t>
  </si>
  <si>
    <t xml:space="preserve">Existing</t>
  </si>
  <si>
    <t xml:space="preserve">Parent. Filtering on Poultry must include all children.</t>
  </si>
  <si>
    <t xml:space="preserve">AN-CHK</t>
  </si>
  <si>
    <t xml:space="preserve">chicken</t>
  </si>
  <si>
    <t xml:space="preserve">Chicken</t>
  </si>
  <si>
    <t xml:space="preserve">Kuku</t>
  </si>
  <si>
    <t xml:space="preserve">Broiler, layer, improved indigenous (Sasso, Kuroiler, Tanbro) are production_purpose values, not separate animals.</t>
  </si>
  <si>
    <t xml:space="preserve">AN-OPO</t>
  </si>
  <si>
    <t xml:space="preserve">other-poultry</t>
  </si>
  <si>
    <t xml:space="preserve">Other poultry (ducks, turkeys, guinea fowl, quail)</t>
  </si>
  <si>
    <t xml:space="preserve">Bata, bata mzinga, kanga, kware</t>
  </si>
  <si>
    <t xml:space="preserve">AN-CAT</t>
  </si>
  <si>
    <t xml:space="preserve">cattle</t>
  </si>
  <si>
    <t xml:space="preserve">Cattle</t>
  </si>
  <si>
    <t xml:space="preserve">Ng'ombe</t>
  </si>
  <si>
    <t xml:space="preserve">Parent. Tag a product here when it applies to both dairy and beef.</t>
  </si>
  <si>
    <t xml:space="preserve">AN-DCT</t>
  </si>
  <si>
    <t xml:space="preserve">dairy-cattle</t>
  </si>
  <si>
    <t xml:space="preserve">Dairy cattle</t>
  </si>
  <si>
    <t xml:space="preserve">Ng'ombe wa maziwa</t>
  </si>
  <si>
    <t xml:space="preserve">New</t>
  </si>
  <si>
    <t xml:space="preserve">Use for dairy meal, milking equipment, dairy semen.</t>
  </si>
  <si>
    <t xml:space="preserve">AN-BCT</t>
  </si>
  <si>
    <t xml:space="preserve">beef-cattle</t>
  </si>
  <si>
    <t xml:space="preserve">Beef cattle</t>
  </si>
  <si>
    <t xml:space="preserve">Ng'ombe wa nyama</t>
  </si>
  <si>
    <t xml:space="preserve">Use for fattening rations.</t>
  </si>
  <si>
    <t xml:space="preserve">AN-GTS</t>
  </si>
  <si>
    <t xml:space="preserve">goats-sheep</t>
  </si>
  <si>
    <t xml:space="preserve">Goats &amp; Sheep</t>
  </si>
  <si>
    <t xml:space="preserve">Mbuzi na kondoo</t>
  </si>
  <si>
    <t xml:space="preserve">Parent.</t>
  </si>
  <si>
    <t xml:space="preserve">AN-GOT</t>
  </si>
  <si>
    <t xml:space="preserve">goats</t>
  </si>
  <si>
    <t xml:space="preserve">Goats</t>
  </si>
  <si>
    <t xml:space="preserve">Mbuzi</t>
  </si>
  <si>
    <t xml:space="preserve">AN-SHP</t>
  </si>
  <si>
    <t xml:space="preserve">sheep</t>
  </si>
  <si>
    <t xml:space="preserve">Sheep</t>
  </si>
  <si>
    <t xml:space="preserve">Kondoo</t>
  </si>
  <si>
    <t xml:space="preserve">AN-PIG</t>
  </si>
  <si>
    <t xml:space="preserve">pigs</t>
  </si>
  <si>
    <t xml:space="preserve">Pigs</t>
  </si>
  <si>
    <t xml:space="preserve">Nguruwe</t>
  </si>
  <si>
    <t xml:space="preserve">AN-FSH</t>
  </si>
  <si>
    <t xml:space="preserve">fish-aquaculture</t>
  </si>
  <si>
    <t xml:space="preserve">Fish / Aquaculture</t>
  </si>
  <si>
    <t xml:space="preserve">Samaki / ufugaji wa samaki</t>
  </si>
  <si>
    <t xml:space="preserve">AN-TIL</t>
  </si>
  <si>
    <t xml:space="preserve">tilapia</t>
  </si>
  <si>
    <t xml:space="preserve">Tilapia</t>
  </si>
  <si>
    <t xml:space="preserve">Sato</t>
  </si>
  <si>
    <t xml:space="preserve">AN-CAF</t>
  </si>
  <si>
    <t xml:space="preserve">catfish</t>
  </si>
  <si>
    <t xml:space="preserve">Catfish</t>
  </si>
  <si>
    <t xml:space="preserve">Kambale</t>
  </si>
  <si>
    <t xml:space="preserve">AN-OTH</t>
  </si>
  <si>
    <t xml:space="preserve">other-animals</t>
  </si>
  <si>
    <t xml:space="preserve">Other livestock / animals (rabbits, dogs, bees)</t>
  </si>
  <si>
    <t xml:space="preserve">Mifugo mingine (sungura, mbwa, nyuki)</t>
  </si>
  <si>
    <t xml:space="preserve">life_stage_id</t>
  </si>
  <si>
    <t xml:space="preserve">applies_to_animal_id</t>
  </si>
  <si>
    <t xml:space="preserve">sort_order</t>
  </si>
  <si>
    <t xml:space="preserve">LS-ALL</t>
  </si>
  <si>
    <t xml:space="preserve">*</t>
  </si>
  <si>
    <t xml:space="preserve">all-stages</t>
  </si>
  <si>
    <t xml:space="preserve">All stages</t>
  </si>
  <si>
    <t xml:space="preserve">Hatua zote</t>
  </si>
  <si>
    <t xml:space="preserve">Use only when the label genuinely says all ages.</t>
  </si>
  <si>
    <t xml:space="preserve">LS-POU-STR</t>
  </si>
  <si>
    <t xml:space="preserve">starter</t>
  </si>
  <si>
    <t xml:space="preserve">Starter / chick (0-4 wks)</t>
  </si>
  <si>
    <t xml:space="preserve">Vifaranga (wiki 0-4)</t>
  </si>
  <si>
    <t xml:space="preserve">LS-POU-GRW</t>
  </si>
  <si>
    <t xml:space="preserve">grower</t>
  </si>
  <si>
    <t xml:space="preserve">Grower</t>
  </si>
  <si>
    <t xml:space="preserve">Kuku wanaokua</t>
  </si>
  <si>
    <t xml:space="preserve">Broiler grower and layer pullet grower share this stage; production_purpose separates them.</t>
  </si>
  <si>
    <t xml:space="preserve">LS-POU-FIN</t>
  </si>
  <si>
    <t xml:space="preserve">finisher</t>
  </si>
  <si>
    <t xml:space="preserve">Finisher (broiler)</t>
  </si>
  <si>
    <t xml:space="preserve">Kumalizia (kuku wa nyama)</t>
  </si>
  <si>
    <t xml:space="preserve">LS-POU-LAY</t>
  </si>
  <si>
    <t xml:space="preserve">laying</t>
  </si>
  <si>
    <t xml:space="preserve">Laying</t>
  </si>
  <si>
    <t xml:space="preserve">Kuku wanaotaga</t>
  </si>
  <si>
    <t xml:space="preserve">LS-POU-BRD</t>
  </si>
  <si>
    <t xml:space="preserve">breeder</t>
  </si>
  <si>
    <t xml:space="preserve">Breeder / parent stock</t>
  </si>
  <si>
    <t xml:space="preserve">Kuku wazazi</t>
  </si>
  <si>
    <t xml:space="preserve">LS-PIG-CRP</t>
  </si>
  <si>
    <t xml:space="preserve">creep</t>
  </si>
  <si>
    <t xml:space="preserve">Piglet / creep (pre-weaning)</t>
  </si>
  <si>
    <t xml:space="preserve">Watoto wanaonyonya</t>
  </si>
  <si>
    <t xml:space="preserve">LS-PIG-WEA</t>
  </si>
  <si>
    <t xml:space="preserve">weaner</t>
  </si>
  <si>
    <t xml:space="preserve">Weaner</t>
  </si>
  <si>
    <t xml:space="preserve">Walioachishwa kunyonya</t>
  </si>
  <si>
    <t xml:space="preserve">LS-PIG-GRW</t>
  </si>
  <si>
    <t xml:space="preserve">Wanaokua</t>
  </si>
  <si>
    <t xml:space="preserve">LS-PIG-FIN</t>
  </si>
  <si>
    <t xml:space="preserve">Finisher</t>
  </si>
  <si>
    <t xml:space="preserve">Kunenepesha</t>
  </si>
  <si>
    <t xml:space="preserve">LS-PIG-SOW</t>
  </si>
  <si>
    <t xml:space="preserve">sow</t>
  </si>
  <si>
    <t xml:space="preserve">Sow (gestating / lactating)</t>
  </si>
  <si>
    <t xml:space="preserve">Nguruwe jike mzazi</t>
  </si>
  <si>
    <t xml:space="preserve">LS-PIG-BOR</t>
  </si>
  <si>
    <t xml:space="preserve">boar</t>
  </si>
  <si>
    <t xml:space="preserve">Boar</t>
  </si>
  <si>
    <t xml:space="preserve">Nguruwe dume</t>
  </si>
  <si>
    <t xml:space="preserve">LS-CAT-CLF</t>
  </si>
  <si>
    <t xml:space="preserve">calf</t>
  </si>
  <si>
    <t xml:space="preserve">Calf</t>
  </si>
  <si>
    <t xml:space="preserve">Ndama</t>
  </si>
  <si>
    <t xml:space="preserve">LS-CAT-HEF</t>
  </si>
  <si>
    <t xml:space="preserve">heifer</t>
  </si>
  <si>
    <t xml:space="preserve">Heifer</t>
  </si>
  <si>
    <t xml:space="preserve">Mtamba</t>
  </si>
  <si>
    <t xml:space="preserve">LS-CAT-LAC</t>
  </si>
  <si>
    <t xml:space="preserve">lactating</t>
  </si>
  <si>
    <t xml:space="preserve">Lactating cow</t>
  </si>
  <si>
    <t xml:space="preserve">Ng'ombe anayekamuliwa</t>
  </si>
  <si>
    <t xml:space="preserve">LS-CAT-DRY</t>
  </si>
  <si>
    <t xml:space="preserve">dry-cow</t>
  </si>
  <si>
    <t xml:space="preserve">Dry cow</t>
  </si>
  <si>
    <t xml:space="preserve">Ng'ombe aliyekauka</t>
  </si>
  <si>
    <t xml:space="preserve">LS-CAT-FAT</t>
  </si>
  <si>
    <t xml:space="preserve">fattening</t>
  </si>
  <si>
    <t xml:space="preserve">Fattening</t>
  </si>
  <si>
    <t xml:space="preserve">LS-CAT-BUL</t>
  </si>
  <si>
    <t xml:space="preserve">bull</t>
  </si>
  <si>
    <t xml:space="preserve">Bull</t>
  </si>
  <si>
    <t xml:space="preserve">Fahali / dume</t>
  </si>
  <si>
    <t xml:space="preserve">LS-GTS-KID</t>
  </si>
  <si>
    <t xml:space="preserve">kid-lamb</t>
  </si>
  <si>
    <t xml:space="preserve">Kid / lamb</t>
  </si>
  <si>
    <t xml:space="preserve">Mwana-mbuzi / mwana-kondoo</t>
  </si>
  <si>
    <t xml:space="preserve">LS-GTS-GRW</t>
  </si>
  <si>
    <t xml:space="preserve">LS-GTS-BRD</t>
  </si>
  <si>
    <t xml:space="preserve">breeding</t>
  </si>
  <si>
    <t xml:space="preserve">Breeding / lactating</t>
  </si>
  <si>
    <t xml:space="preserve">Wazazi / wanaonyonyesha</t>
  </si>
  <si>
    <t xml:space="preserve">LS-GTS-FAT</t>
  </si>
  <si>
    <t xml:space="preserve">LS-FSH-FRY</t>
  </si>
  <si>
    <t xml:space="preserve">fry</t>
  </si>
  <si>
    <t xml:space="preserve">Fry</t>
  </si>
  <si>
    <t xml:space="preserve">Vifaranga vya samaki (fry)</t>
  </si>
  <si>
    <t xml:space="preserve">LS-FSH-FNG</t>
  </si>
  <si>
    <t xml:space="preserve">fingerling</t>
  </si>
  <si>
    <t xml:space="preserve">Fingerling</t>
  </si>
  <si>
    <t xml:space="preserve">Vifaranga (fingerlings)</t>
  </si>
  <si>
    <t xml:space="preserve">LS-FSH-GRO</t>
  </si>
  <si>
    <t xml:space="preserve">grow-out</t>
  </si>
  <si>
    <t xml:space="preserve">Grow-out</t>
  </si>
  <si>
    <t xml:space="preserve">Kukuza hadi soko</t>
  </si>
  <si>
    <t xml:space="preserve">LS-FSH-BRD</t>
  </si>
  <si>
    <t xml:space="preserve">broodstock</t>
  </si>
  <si>
    <t xml:space="preserve">Broodstock</t>
  </si>
  <si>
    <t xml:space="preserve">Samaki wazazi</t>
  </si>
  <si>
    <t xml:space="preserve">category_id</t>
  </si>
  <si>
    <t xml:space="preserve">level</t>
  </si>
  <si>
    <t xml:space="preserve">includes</t>
  </si>
  <si>
    <t xml:space="preserve">excludes_tie_break</t>
  </si>
  <si>
    <t xml:space="preserve">extra_required_attributes</t>
  </si>
  <si>
    <t xml:space="preserve">product_count</t>
  </si>
  <si>
    <t xml:space="preserve">C10</t>
  </si>
  <si>
    <t xml:space="preserve">feed</t>
  </si>
  <si>
    <t xml:space="preserve">Feed</t>
  </si>
  <si>
    <t xml:space="preserve">Vyakula vya mifugo</t>
  </si>
  <si>
    <t xml:space="preserve">Anything the animal eats as its ration or that is mixed into the ration.</t>
  </si>
  <si>
    <t xml:space="preserve">Water-soluble nutritional products go to Supplements (C20), not Feed.</t>
  </si>
  <si>
    <t xml:space="preserve">Existing (restructured)</t>
  </si>
  <si>
    <t xml:space="preserve">C1010</t>
  </si>
  <si>
    <t xml:space="preserve">complete-feed</t>
  </si>
  <si>
    <t xml:space="preserve">Complete feed</t>
  </si>
  <si>
    <t xml:space="preserve">Chakula kamili</t>
  </si>
  <si>
    <t xml:space="preserve">Ready-to-feed rations: starter, grower, finisher, layers mash, dairy meal, pig pellets, fish feed.</t>
  </si>
  <si>
    <t xml:space="preserve">Life stage is an attribute, NOT a sub-category. Old Feed&gt;Starter/Grower/Finisher/Layers Mash all map here.</t>
  </si>
  <si>
    <t xml:space="preserve">life_stages, crude_protein_pct, form</t>
  </si>
  <si>
    <t xml:space="preserve">New (replaces Starter/Grower/Finisher/Layers Mash)</t>
  </si>
  <si>
    <t xml:space="preserve">C1020</t>
  </si>
  <si>
    <t xml:space="preserve">concentrates</t>
  </si>
  <si>
    <t xml:space="preserve">Concentrates</t>
  </si>
  <si>
    <t xml:space="preserve">Kontsentreti (chakula cha kuchanganya)</t>
  </si>
  <si>
    <t xml:space="preserve">Protein/vitamin/mineral concentrates the farmer mixes with an energy source (maize bran, maize).</t>
  </si>
  <si>
    <t xml:space="preserve">If it needs mixing at more than ~5% of the ration it is a concentrate; under ~5% it is a premix.</t>
  </si>
  <si>
    <t xml:space="preserve">crude_protein_pct, inclusion_or_dosage</t>
  </si>
  <si>
    <t xml:space="preserve">C1030</t>
  </si>
  <si>
    <t xml:space="preserve">premixes</t>
  </si>
  <si>
    <t xml:space="preserve">Premixes &amp; base mixes</t>
  </si>
  <si>
    <t xml:space="preserve">Premiksi (vitamini na madini ya kuchanganya)</t>
  </si>
  <si>
    <t xml:space="preserve">Vitamin-mineral premixes mixed into feed at low inclusion (typically 0.25-5%).</t>
  </si>
  <si>
    <t xml:space="preserve">Vitamins given in drinking water go to C2010.</t>
  </si>
  <si>
    <t xml:space="preserve">inclusion_or_dosage</t>
  </si>
  <si>
    <t xml:space="preserve">C1040</t>
  </si>
  <si>
    <t xml:space="preserve">raw-materials</t>
  </si>
  <si>
    <t xml:space="preserve">Raw materials &amp; ingredients</t>
  </si>
  <si>
    <t xml:space="preserve">Malighafi za chakula</t>
  </si>
  <si>
    <t xml:space="preserve">Single ingredients: maize bran, maize, sunflower cake, soybean meal, fish meal/dagaa, limestone, DCP.</t>
  </si>
  <si>
    <t xml:space="preserve">Usually multi-species: tag every animal it is fed to.</t>
  </si>
  <si>
    <t xml:space="preserve">crude_protein_pct</t>
  </si>
  <si>
    <t xml:space="preserve">C1050</t>
  </si>
  <si>
    <t xml:space="preserve">forage-fodder</t>
  </si>
  <si>
    <t xml:space="preserve">Forage &amp; fodder</t>
  </si>
  <si>
    <t xml:space="preserve">Malisho na majani</t>
  </si>
  <si>
    <t xml:space="preserve">Hay, silage, pasture/fodder seed and cuttings.</t>
  </si>
  <si>
    <t xml:space="preserve">C20</t>
  </si>
  <si>
    <t xml:space="preserve">supplements-additives</t>
  </si>
  <si>
    <t xml:space="preserve">Supplements &amp; additives</t>
  </si>
  <si>
    <t xml:space="preserve">Virutubisho na viongezeo</t>
  </si>
  <si>
    <t xml:space="preserve">Nutritional products given on top of the ration, in water or feed.</t>
  </si>
  <si>
    <t xml:space="preserve">Category describes what the product does; regulatory_class (separate field) decides how it may be sold. Never infer one from the other.</t>
  </si>
  <si>
    <t xml:space="preserve">administration_route, use_cases</t>
  </si>
  <si>
    <t xml:space="preserve">Existing (was 'Vitamins &amp; Supplements', now split)</t>
  </si>
  <si>
    <t xml:space="preserve">C2010</t>
  </si>
  <si>
    <t xml:space="preserve">vitamins</t>
  </si>
  <si>
    <t xml:space="preserve">Vitamins &amp; multivitamins</t>
  </si>
  <si>
    <t xml:space="preserve">Vitamini</t>
  </si>
  <si>
    <t xml:space="preserve">Single or multivitamin products incl. water-soluble sachets and injectable vitamins.</t>
  </si>
  <si>
    <t xml:space="preserve">If the main claim is electrolytes/heat stress use C2020 even when vitamin C is present.</t>
  </si>
  <si>
    <t xml:space="preserve">C2020</t>
  </si>
  <si>
    <t xml:space="preserve">electrolytes</t>
  </si>
  <si>
    <t xml:space="preserve">Electrolytes &amp; heat-stress</t>
  </si>
  <si>
    <t xml:space="preserve">Elektrolaiti na kinga ya joto</t>
  </si>
  <si>
    <t xml:space="preserve">Electrolytes, oral rehydration salts, anti-heat-stress products.</t>
  </si>
  <si>
    <t xml:space="preserve">C2030</t>
  </si>
  <si>
    <t xml:space="preserve">minerals-licks</t>
  </si>
  <si>
    <t xml:space="preserve">Minerals &amp; licks</t>
  </si>
  <si>
    <t xml:space="preserve">Madini na mawe ya kulamba</t>
  </si>
  <si>
    <t xml:space="preserve">Mineral licks, blocks and loose mineral mixes for direct feeding.</t>
  </si>
  <si>
    <t xml:space="preserve">Feed-mill premixes go to C1030.</t>
  </si>
  <si>
    <t xml:space="preserve">C2040</t>
  </si>
  <si>
    <t xml:space="preserve">probiotics-enzymes</t>
  </si>
  <si>
    <t xml:space="preserve">Probiotics, enzymes &amp; acidifiers</t>
  </si>
  <si>
    <t xml:space="preserve">Probiotiki, vimeng'enya na asidi</t>
  </si>
  <si>
    <t xml:space="preserve">Gut-health additives.</t>
  </si>
  <si>
    <t xml:space="preserve">C2050</t>
  </si>
  <si>
    <t xml:space="preserve">toxin-binders</t>
  </si>
  <si>
    <t xml:space="preserve">Toxin binders</t>
  </si>
  <si>
    <t xml:space="preserve">Vifunga sumu ya kuvu</t>
  </si>
  <si>
    <t xml:space="preserve">Mycotoxin/aflatoxin binders.</t>
  </si>
  <si>
    <t xml:space="preserve">C2060</t>
  </si>
  <si>
    <t xml:space="preserve">amino-acids-tonics</t>
  </si>
  <si>
    <t xml:space="preserve">Amino acids &amp; tonics</t>
  </si>
  <si>
    <t xml:space="preserve">Amino asidi na tonik</t>
  </si>
  <si>
    <t xml:space="preserve">Liver tonics, amino-acid liquids, egg/production boosters.</t>
  </si>
  <si>
    <t xml:space="preserve">C30</t>
  </si>
  <si>
    <t xml:space="preserve">medicines</t>
  </si>
  <si>
    <t xml:space="preserve">Medicines</t>
  </si>
  <si>
    <t xml:space="preserve">Dawa za mifugo</t>
  </si>
  <si>
    <t xml:space="preserve">Products that treat or prevent disease (excluding vaccines).</t>
  </si>
  <si>
    <t xml:space="preserve">Every item needs regulatory_class and prescription_required set before it is listed.</t>
  </si>
  <si>
    <t xml:space="preserve">active_ingredients, regulatory_class, prescription_required, withdrawal periods</t>
  </si>
  <si>
    <t xml:space="preserve">Existing (now split)</t>
  </si>
  <si>
    <t xml:space="preserve">C3010</t>
  </si>
  <si>
    <t xml:space="preserve">antibiotics</t>
  </si>
  <si>
    <t xml:space="preserve">Antibiotics &amp; antibacterials</t>
  </si>
  <si>
    <t xml:space="preserve">Viuavijasumu</t>
  </si>
  <si>
    <t xml:space="preserve">C3020</t>
  </si>
  <si>
    <t xml:space="preserve">dewormers</t>
  </si>
  <si>
    <t xml:space="preserve">Dewormers</t>
  </si>
  <si>
    <t xml:space="preserve">Dawa za minyoo</t>
  </si>
  <si>
    <t xml:space="preserve">Internal parasite control incl. endectocides (ivermectin).</t>
  </si>
  <si>
    <t xml:space="preserve">C3030</t>
  </si>
  <si>
    <t xml:space="preserve">anticoccidials</t>
  </si>
  <si>
    <t xml:space="preserve">Anticoccidials</t>
  </si>
  <si>
    <t xml:space="preserve">Dawa za kuhara damu (koksidiosisi)</t>
  </si>
  <si>
    <t xml:space="preserve">C3040</t>
  </si>
  <si>
    <t xml:space="preserve">external-parasites</t>
  </si>
  <si>
    <t xml:space="preserve">External parasite control</t>
  </si>
  <si>
    <t xml:space="preserve">Dawa za kupe, chawa na utitiri</t>
  </si>
  <si>
    <t xml:space="preserve">Acaricides, dips, sprays, pour-ons, mite/lice powders.</t>
  </si>
  <si>
    <t xml:space="preserve">C3050</t>
  </si>
  <si>
    <t xml:space="preserve">wound-care</t>
  </si>
  <si>
    <t xml:space="preserve">Wound care &amp; topical</t>
  </si>
  <si>
    <t xml:space="preserve">Dawa za vidonda</t>
  </si>
  <si>
    <t xml:space="preserve">C3060</t>
  </si>
  <si>
    <t xml:space="preserve">other-medicines</t>
  </si>
  <si>
    <t xml:space="preserve">Other medicines</t>
  </si>
  <si>
    <t xml:space="preserve">Dawa nyingine</t>
  </si>
  <si>
    <t xml:space="preserve">Metabolic (milk fever), anti-inflammatories, hormones etc.</t>
  </si>
  <si>
    <t xml:space="preserve">Use sparingly; add a new sub-category once &gt;5 products share a purpose.</t>
  </si>
  <si>
    <t xml:space="preserve">C40</t>
  </si>
  <si>
    <t xml:space="preserve">vaccines</t>
  </si>
  <si>
    <t xml:space="preserve">Vaccines &amp; biologicals</t>
  </si>
  <si>
    <t xml:space="preserve">Chanjo</t>
  </si>
  <si>
    <t xml:space="preserve">All vaccines.</t>
  </si>
  <si>
    <t xml:space="preserve">No sub-categories: animal type + disease_target do the filtering.</t>
  </si>
  <si>
    <t xml:space="preserve">disease_target, cold_chain_required, storage</t>
  </si>
  <si>
    <t xml:space="preserve">C50</t>
  </si>
  <si>
    <t xml:space="preserve">biosecurity-hygiene</t>
  </si>
  <si>
    <t xml:space="preserve">Biosecurity &amp; hygiene</t>
  </si>
  <si>
    <t xml:space="preserve">Usafi na kinga ya shamba</t>
  </si>
  <si>
    <t xml:space="preserve">Disinfectants, water sanitisers, foot-dip products, rodent and fly control.</t>
  </si>
  <si>
    <t xml:space="preserve">Replaces the undefined 'Veterinary Products' category.</t>
  </si>
  <si>
    <t xml:space="preserve">New (replaces 'Veterinary Products')</t>
  </si>
  <si>
    <t xml:space="preserve">C5010</t>
  </si>
  <si>
    <t xml:space="preserve">disinfectants</t>
  </si>
  <si>
    <t xml:space="preserve">Disinfectants &amp; sanitisers</t>
  </si>
  <si>
    <t xml:space="preserve">Dawa za kuua vijidudu</t>
  </si>
  <si>
    <t xml:space="preserve">C5020</t>
  </si>
  <si>
    <t xml:space="preserve">pest-rodent-control</t>
  </si>
  <si>
    <t xml:space="preserve">Pest &amp; rodent control</t>
  </si>
  <si>
    <t xml:space="preserve">Udhibiti wa panya na wadudu</t>
  </si>
  <si>
    <t xml:space="preserve">C60</t>
  </si>
  <si>
    <t xml:space="preserve">equipment</t>
  </si>
  <si>
    <t xml:space="preserve">Equipment &amp; supplies</t>
  </si>
  <si>
    <t xml:space="preserve">Vifaa</t>
  </si>
  <si>
    <t xml:space="preserve">Durable goods and consumables.</t>
  </si>
  <si>
    <t xml:space="preserve">capacity, power_source where relevant</t>
  </si>
  <si>
    <t xml:space="preserve">C6010</t>
  </si>
  <si>
    <t xml:space="preserve">feeders-drinkers</t>
  </si>
  <si>
    <t xml:space="preserve">Feeders &amp; drinkers</t>
  </si>
  <si>
    <t xml:space="preserve">Vyombo vya chakula na maji</t>
  </si>
  <si>
    <t xml:space="preserve">C6020</t>
  </si>
  <si>
    <t xml:space="preserve">brooding-heating</t>
  </si>
  <si>
    <t xml:space="preserve">Brooding &amp; heating</t>
  </si>
  <si>
    <t xml:space="preserve">Vifaa vya kulelea vifaranga</t>
  </si>
  <si>
    <t xml:space="preserve">Split from 'Housing &amp; Brooding'</t>
  </si>
  <si>
    <t xml:space="preserve">C6030</t>
  </si>
  <si>
    <t xml:space="preserve">housing-cages</t>
  </si>
  <si>
    <t xml:space="preserve">Housing, cages &amp; nests</t>
  </si>
  <si>
    <t xml:space="preserve">Mabanda, vizimba na viota</t>
  </si>
  <si>
    <t xml:space="preserve">C6040</t>
  </si>
  <si>
    <t xml:space="preserve">incubators</t>
  </si>
  <si>
    <t xml:space="preserve">Incubators &amp; hatching</t>
  </si>
  <si>
    <t xml:space="preserve">Mashine za kutotolesha</t>
  </si>
  <si>
    <t xml:space="preserve">C6050</t>
  </si>
  <si>
    <t xml:space="preserve">egg-handling</t>
  </si>
  <si>
    <t xml:space="preserve">Egg handling &amp; packaging</t>
  </si>
  <si>
    <t xml:space="preserve">Trei na vifungashio vya mayai</t>
  </si>
  <si>
    <t xml:space="preserve">C6060</t>
  </si>
  <si>
    <t xml:space="preserve">vet-tools</t>
  </si>
  <si>
    <t xml:space="preserve">Veterinary tools</t>
  </si>
  <si>
    <t xml:space="preserve">Vifaa vya tiba ya mifugo</t>
  </si>
  <si>
    <t xml:space="preserve">Syringes, needles, drenching guns, thermometers.</t>
  </si>
  <si>
    <t xml:space="preserve">C6070</t>
  </si>
  <si>
    <t xml:space="preserve">milking-dairy</t>
  </si>
  <si>
    <t xml:space="preserve">Milking &amp; dairy equipment</t>
  </si>
  <si>
    <t xml:space="preserve">Vifaa vya kukamua na maziwa</t>
  </si>
  <si>
    <t xml:space="preserve">C6080</t>
  </si>
  <si>
    <t xml:space="preserve">weighing</t>
  </si>
  <si>
    <t xml:space="preserve">Weighing &amp; measuring</t>
  </si>
  <si>
    <t xml:space="preserve">Mizani na vipimo</t>
  </si>
  <si>
    <t xml:space="preserve">C70</t>
  </si>
  <si>
    <t xml:space="preserve">live-animals-genetics</t>
  </si>
  <si>
    <t xml:space="preserve">Live animals &amp; genetics</t>
  </si>
  <si>
    <t xml:space="preserve">Mifugo hai na mbegu</t>
  </si>
  <si>
    <t xml:space="preserve">Animals and genetic material.</t>
  </si>
  <si>
    <t xml:space="preserve">Decided: day-old chicks move into this catalogue. They are sold against hatch dates (Hatch_Schedule), not shelf stock; other live animals use Store_Inventory.</t>
  </si>
  <si>
    <t xml:space="preserve">breed_strain, vaccination_status</t>
  </si>
  <si>
    <t xml:space="preserve">C7010</t>
  </si>
  <si>
    <t xml:space="preserve">day-old-chicks</t>
  </si>
  <si>
    <t xml:space="preserve">Day-old chicks &amp; hatching eggs</t>
  </si>
  <si>
    <t xml:space="preserve">Vifaranga na mayai ya kutotolesha</t>
  </si>
  <si>
    <t xml:space="preserve">One product per hatchery x chick type (e.g. 'Kibo Broiler Day-old Chicks'). Replaces Oda's chick-type list.</t>
  </si>
  <si>
    <t xml:space="preserve">Availability, price and capacity live on Hatch_Schedule rows; never put chicks in Store_Inventory.</t>
  </si>
  <si>
    <t xml:space="preserve">breed_strain, min_order_qty, hatch schedule</t>
  </si>
  <si>
    <t xml:space="preserve">New (absorbs Oda chick booking)</t>
  </si>
  <si>
    <t xml:space="preserve">C7020</t>
  </si>
  <si>
    <t xml:space="preserve">young-stock</t>
  </si>
  <si>
    <t xml:space="preserve">Young stock</t>
  </si>
  <si>
    <t xml:space="preserve">Mifugo wachanga</t>
  </si>
  <si>
    <t xml:space="preserve">Piglets, calves, kids, fingerlings, point-of-lay pullets.</t>
  </si>
  <si>
    <t xml:space="preserve">C7030</t>
  </si>
  <si>
    <t xml:space="preserve">breeding-stock</t>
  </si>
  <si>
    <t xml:space="preserve">Breeding &amp; mature stock</t>
  </si>
  <si>
    <t xml:space="preserve">Mifugo wazazi na waliokomaa</t>
  </si>
  <si>
    <t xml:space="preserve">C7040</t>
  </si>
  <si>
    <t xml:space="preserve">semen-ai</t>
  </si>
  <si>
    <t xml:space="preserve">Semen &amp; AI</t>
  </si>
  <si>
    <t xml:space="preserve">Mbegu za uhimilishaji</t>
  </si>
  <si>
    <t xml:space="preserve">cold_chain_required</t>
  </si>
  <si>
    <t xml:space="preserve">attribute_key</t>
  </si>
  <si>
    <t xml:space="preserve">label_en</t>
  </si>
  <si>
    <t xml:space="preserve">label_sw</t>
  </si>
  <si>
    <t xml:space="preserve">data_type</t>
  </si>
  <si>
    <t xml:space="preserve">multi_select</t>
  </si>
  <si>
    <t xml:space="preserve">required_for</t>
  </si>
  <si>
    <t xml:space="preserve">allowed_values_source</t>
  </si>
  <si>
    <t xml:space="preserve">animal_types</t>
  </si>
  <si>
    <t xml:space="preserve">Animal type(s)</t>
  </si>
  <si>
    <t xml:space="preserve">Aina ya mifugo</t>
  </si>
  <si>
    <t xml:space="preserve">product</t>
  </si>
  <si>
    <t xml:space="preserve">enum</t>
  </si>
  <si>
    <t xml:space="preserve">Y</t>
  </si>
  <si>
    <t xml:space="preserve">ALL</t>
  </si>
  <si>
    <t xml:space="preserve">MULTI-SELECT. Tag the most specific level that is true; parent filters include children.</t>
  </si>
  <si>
    <t xml:space="preserve">life_stages</t>
  </si>
  <si>
    <t xml:space="preserve">Life stage(s)</t>
  </si>
  <si>
    <t xml:space="preserve">Hatua ya ukuaji</t>
  </si>
  <si>
    <t xml:space="preserve">C1010, C1020, C70</t>
  </si>
  <si>
    <t xml:space="preserve">Only stages belonging to the chosen animal types.</t>
  </si>
  <si>
    <t xml:space="preserve">production_purpose</t>
  </si>
  <si>
    <t xml:space="preserve">Production purpose</t>
  </si>
  <si>
    <t xml:space="preserve">Lengo la ufugaji</t>
  </si>
  <si>
    <t xml:space="preserve">C1010, C1020, C70 (optional elsewhere)</t>
  </si>
  <si>
    <t xml:space="preserve">broiler / layer / improved indigenous / dairy / beef ...</t>
  </si>
  <si>
    <t xml:space="preserve">form</t>
  </si>
  <si>
    <t xml:space="preserve">Physical form</t>
  </si>
  <si>
    <t xml:space="preserve">Umbo</t>
  </si>
  <si>
    <t xml:space="preserve">N</t>
  </si>
  <si>
    <t xml:space="preserve">administration_route</t>
  </si>
  <si>
    <t xml:space="preserve">How it is given</t>
  </si>
  <si>
    <t xml:space="preserve">Jinsi ya kutumia</t>
  </si>
  <si>
    <t xml:space="preserve">C20, C30, C40, C50</t>
  </si>
  <si>
    <t xml:space="preserve">use_cases</t>
  </si>
  <si>
    <t xml:space="preserve">Problem / use case tags</t>
  </si>
  <si>
    <t xml:space="preserve">Tatizo / matumizi</t>
  </si>
  <si>
    <t xml:space="preserve">Recommended for all; required C20, C30</t>
  </si>
  <si>
    <t xml:space="preserve">Powers problem-based search (e.g. 'joto' finds heat-stress products).</t>
  </si>
  <si>
    <t xml:space="preserve">disease_target</t>
  </si>
  <si>
    <t xml:space="preserve">Disease(s) targeted</t>
  </si>
  <si>
    <t xml:space="preserve">Ugonjwa unaolengwa</t>
  </si>
  <si>
    <t xml:space="preserve">C40 (required); C30 (optional)</t>
  </si>
  <si>
    <t xml:space="preserve">active_ingredients</t>
  </si>
  <si>
    <t xml:space="preserve">Active ingredients / composition</t>
  </si>
  <si>
    <t xml:space="preserve">Viambato</t>
  </si>
  <si>
    <t xml:space="preserve">text</t>
  </si>
  <si>
    <t xml:space="preserve">free text</t>
  </si>
  <si>
    <t xml:space="preserve">As printed on label.</t>
  </si>
  <si>
    <t xml:space="preserve">Crude protein %</t>
  </si>
  <si>
    <t xml:space="preserve">Protini %</t>
  </si>
  <si>
    <t xml:space="preserve">number</t>
  </si>
  <si>
    <t xml:space="preserve">C1010, C1020, C1040</t>
  </si>
  <si>
    <t xml:space="preserve">Decimal number, e.g. 22.</t>
  </si>
  <si>
    <t xml:space="preserve">Inclusion rate / dosage</t>
  </si>
  <si>
    <t xml:space="preserve">Kiwango cha kuchanganya / dozi</t>
  </si>
  <si>
    <t xml:space="preserve">C1020, C1030, C20, C30</t>
  </si>
  <si>
    <t xml:space="preserve">Copy from label; never invent.</t>
  </si>
  <si>
    <t xml:space="preserve">withdrawal_meat_days</t>
  </si>
  <si>
    <t xml:space="preserve">Withdrawal - meat (days)</t>
  </si>
  <si>
    <t xml:space="preserve">Muda wa kusubiri - nyama</t>
  </si>
  <si>
    <t xml:space="preserve">integer</t>
  </si>
  <si>
    <t xml:space="preserve">C30 (where applicable)</t>
  </si>
  <si>
    <t xml:space="preserve">From label only.</t>
  </si>
  <si>
    <t xml:space="preserve">withdrawal_eggs_days</t>
  </si>
  <si>
    <t xml:space="preserve">Withdrawal - eggs (days)</t>
  </si>
  <si>
    <t xml:space="preserve">Muda wa kusubiri - mayai</t>
  </si>
  <si>
    <t xml:space="preserve">C30 poultry</t>
  </si>
  <si>
    <t xml:space="preserve">withdrawal_milk_days</t>
  </si>
  <si>
    <t xml:space="preserve">Withdrawal - milk (days)</t>
  </si>
  <si>
    <t xml:space="preserve">Muda wa kusubiri - maziwa</t>
  </si>
  <si>
    <t xml:space="preserve">C30 dairy</t>
  </si>
  <si>
    <t xml:space="preserve">regulatory_class</t>
  </si>
  <si>
    <t xml:space="preserve">Regulatory class</t>
  </si>
  <si>
    <t xml:space="preserve">Kundi la udhibiti</t>
  </si>
  <si>
    <t xml:space="preserve">Set from registration status, not from packaging wording.</t>
  </si>
  <si>
    <t xml:space="preserve">prescription_required</t>
  </si>
  <si>
    <t xml:space="preserve">Prescription / vet supervision required</t>
  </si>
  <si>
    <t xml:space="preserve">Inahitaji cheti cha daktari</t>
  </si>
  <si>
    <t xml:space="preserve">boolean</t>
  </si>
  <si>
    <t xml:space="preserve">C30, C40</t>
  </si>
  <si>
    <t xml:space="preserve">If TRUE: checkout must collect prescription or route to vet; decide flow before go-live.</t>
  </si>
  <si>
    <t xml:space="preserve">registration_no</t>
  </si>
  <si>
    <t xml:space="preserve">Registration number</t>
  </si>
  <si>
    <t xml:space="preserve">Namba ya usajili</t>
  </si>
  <si>
    <t xml:space="preserve">Regulated classes</t>
  </si>
  <si>
    <t xml:space="preserve">Dummy values in this file start DEMO-.</t>
  </si>
  <si>
    <t xml:space="preserve">Cold chain required</t>
  </si>
  <si>
    <t xml:space="preserve">Inahitaji ubaridi</t>
  </si>
  <si>
    <t xml:space="preserve">C40, C7040, some C30</t>
  </si>
  <si>
    <t xml:space="preserve">Only stores with cold_chain_capable=TRUE may stock/fulfil.</t>
  </si>
  <si>
    <t xml:space="preserve">storage</t>
  </si>
  <si>
    <t xml:space="preserve">Storage conditions</t>
  </si>
  <si>
    <t xml:space="preserve">Uhifadhi</t>
  </si>
  <si>
    <t xml:space="preserve">C20, C30, C40</t>
  </si>
  <si>
    <t xml:space="preserve">capacity</t>
  </si>
  <si>
    <t xml:space="preserve">Capacity / size</t>
  </si>
  <si>
    <t xml:space="preserve">Ujazo / ukubwa</t>
  </si>
  <si>
    <t xml:space="preserve">e.g. 10 L, 528 eggs, 96 birds.</t>
  </si>
  <si>
    <t xml:space="preserve">power_source</t>
  </si>
  <si>
    <t xml:space="preserve">Power source</t>
  </si>
  <si>
    <t xml:space="preserve">Chanzo cha nishati</t>
  </si>
  <si>
    <t xml:space="preserve">C6020, C6040</t>
  </si>
  <si>
    <t xml:space="preserve">breed_strain</t>
  </si>
  <si>
    <t xml:space="preserve">Breed / strain</t>
  </si>
  <si>
    <t xml:space="preserve">Aina / mbegu</t>
  </si>
  <si>
    <t xml:space="preserve">brand_id</t>
  </si>
  <si>
    <t xml:space="preserve">Brand</t>
  </si>
  <si>
    <t xml:space="preserve">Chapa</t>
  </si>
  <si>
    <t xml:space="preserve">fk</t>
  </si>
  <si>
    <t xml:space="preserve">Brand = name on the pack.</t>
  </si>
  <si>
    <t xml:space="preserve">producer_id</t>
  </si>
  <si>
    <t xml:space="preserve">Producer / manufacturer</t>
  </si>
  <si>
    <t xml:space="preserve">Mtengenezaji</t>
  </si>
  <si>
    <t xml:space="preserve">Optional</t>
  </si>
  <si>
    <t xml:space="preserve">Who made it. May differ from brand owner and from the seller.</t>
  </si>
  <si>
    <t xml:space="preserve">search_keywords</t>
  </si>
  <si>
    <t xml:space="preserve">Search keywords (SW/EN)</t>
  </si>
  <si>
    <t xml:space="preserve">Maneno ya utafutaji</t>
  </si>
  <si>
    <t xml:space="preserve">text (pipe-separated)</t>
  </si>
  <si>
    <t xml:space="preserve">Search_Keywords + free</t>
  </si>
  <si>
    <t xml:space="preserve">Kiswahili names, local names, problems solved.</t>
  </si>
  <si>
    <t xml:space="preserve">pack_size_value</t>
  </si>
  <si>
    <t xml:space="preserve">Pack size value</t>
  </si>
  <si>
    <t xml:space="preserve">Ukubwa wa kifurushi</t>
  </si>
  <si>
    <t xml:space="preserve">variant</t>
  </si>
  <si>
    <t xml:space="preserve">ALL variants</t>
  </si>
  <si>
    <t xml:space="preserve">Pack size lives on the VARIANT, never in the product name.</t>
  </si>
  <si>
    <t xml:space="preserve">pack_size_unit</t>
  </si>
  <si>
    <t xml:space="preserve">Pack size unit</t>
  </si>
  <si>
    <t xml:space="preserve">Kipimo</t>
  </si>
  <si>
    <t xml:space="preserve">selling_unit</t>
  </si>
  <si>
    <t xml:space="preserve">Selling unit</t>
  </si>
  <si>
    <t xml:space="preserve">Kipimo cha kuuzia</t>
  </si>
  <si>
    <t xml:space="preserve">Matches the live 'Selling unit' list plus bird/head/straw.</t>
  </si>
  <si>
    <t xml:space="preserve">net_weight_kg</t>
  </si>
  <si>
    <t xml:space="preserve">Shipping weight (kg)</t>
  </si>
  <si>
    <t xml:space="preserve">Uzito wa usafirishaji</t>
  </si>
  <si>
    <t xml:space="preserve">Needed for delivery cost.</t>
  </si>
  <si>
    <t xml:space="preserve">gtin</t>
  </si>
  <si>
    <t xml:space="preserve">Barcode (GTIN-13)</t>
  </si>
  <si>
    <t xml:space="preserve">Msimbo pau</t>
  </si>
  <si>
    <t xml:space="preserve">Dummy codes use the 200-299 in-store prefix.</t>
  </si>
  <si>
    <t xml:space="preserve">qty_on_hand</t>
  </si>
  <si>
    <t xml:space="preserve">Quantity on hand</t>
  </si>
  <si>
    <t xml:space="preserve">Idadi iliyopo</t>
  </si>
  <si>
    <t xml:space="preserve">store_inventory</t>
  </si>
  <si>
    <t xml:space="preserve">reorder_level</t>
  </si>
  <si>
    <t xml:space="preserve">Reorder level</t>
  </si>
  <si>
    <t xml:space="preserve">Kiwango cha kuagiza tena</t>
  </si>
  <si>
    <t xml:space="preserve">Drives 'Low stock'.</t>
  </si>
  <si>
    <t xml:space="preserve">cost_price_tzs</t>
  </si>
  <si>
    <t xml:space="preserve">Cost price (TZS)</t>
  </si>
  <si>
    <t xml:space="preserve">Bei ya kununua</t>
  </si>
  <si>
    <t xml:space="preserve">selling_price_tzs</t>
  </si>
  <si>
    <t xml:space="preserve">Selling price (TZS)</t>
  </si>
  <si>
    <t xml:space="preserve">Bei ya kuuza</t>
  </si>
  <si>
    <t xml:space="preserve">Price is per STORE, so regions can differ.</t>
  </si>
  <si>
    <t xml:space="preserve">batch_no</t>
  </si>
  <si>
    <t xml:space="preserve">Batch number</t>
  </si>
  <si>
    <t xml:space="preserve">Namba ya batch</t>
  </si>
  <si>
    <t xml:space="preserve">Perishables</t>
  </si>
  <si>
    <t xml:space="preserve">expiry_date</t>
  </si>
  <si>
    <t xml:space="preserve">Expiry date</t>
  </si>
  <si>
    <t xml:space="preserve">Tarehe ya kuisha muda</t>
  </si>
  <si>
    <t xml:space="preserve">date</t>
  </si>
  <si>
    <t xml:space="preserve">C10, C20, C30, C40, C50</t>
  </si>
  <si>
    <t xml:space="preserve">Drives 'Expiring soon'; expired stock must not be sold.</t>
  </si>
  <si>
    <t xml:space="preserve">listed_online</t>
  </si>
  <si>
    <t xml:space="preserve">Listed online</t>
  </si>
  <si>
    <t xml:space="preserve">Imewekwa mtandaoni</t>
  </si>
  <si>
    <t xml:space="preserve">online_qty</t>
  </si>
  <si>
    <t xml:space="preserve">Units exposed online</t>
  </si>
  <si>
    <t xml:space="preserve">Idadi mtandaoni</t>
  </si>
  <si>
    <t xml:space="preserve">&lt;= qty_on_hand.</t>
  </si>
  <si>
    <t xml:space="preserve">min_order_qty</t>
  </si>
  <si>
    <t xml:space="preserve">Minimum order quantity</t>
  </si>
  <si>
    <t xml:space="preserve">Kiwango cha chini cha oda</t>
  </si>
  <si>
    <t xml:space="preserve">ALL variants (50 for day-old chicks)</t>
  </si>
  <si>
    <t xml:space="preserve">Checkout must enforce it.</t>
  </si>
  <si>
    <t xml:space="preserve">hatch_date</t>
  </si>
  <si>
    <t xml:space="preserve">Hatch date</t>
  </si>
  <si>
    <t xml:space="preserve">Tarehe ya kutotoa</t>
  </si>
  <si>
    <t xml:space="preserve">hatch_schedule</t>
  </si>
  <si>
    <t xml:space="preserve">One row per seller x SKU x hatch date (Oda hatch schedule).</t>
  </si>
  <si>
    <t xml:space="preserve">order_cutoff_date</t>
  </si>
  <si>
    <t xml:space="preserve">Order cut-off date</t>
  </si>
  <si>
    <t xml:space="preserve">Mwisho wa kuagiza</t>
  </si>
  <si>
    <t xml:space="preserve">Bookings close after this date.</t>
  </si>
  <si>
    <t xml:space="preserve">price_per_chick_tzs</t>
  </si>
  <si>
    <t xml:space="preserve">Price per chick (TZS)</t>
  </si>
  <si>
    <t xml:space="preserve">Bei kwa kifaranga</t>
  </si>
  <si>
    <t xml:space="preserve">Can differ per hatch date.</t>
  </si>
  <si>
    <t xml:space="preserve">capacity_chicks</t>
  </si>
  <si>
    <t xml:space="preserve">Capacity (chicks)</t>
  </si>
  <si>
    <t xml:space="preserve">Uwezo (vifaranga)</t>
  </si>
  <si>
    <t xml:space="preserve">Fixed volume set by the hatchery.</t>
  </si>
  <si>
    <t xml:space="preserve">booked_chicks</t>
  </si>
  <si>
    <t xml:space="preserve">Booked (chicks)</t>
  </si>
  <si>
    <t xml:space="preserve">Vilivyoagizwa</t>
  </si>
  <si>
    <t xml:space="preserve">Date shows FULL when booked &gt;= capacity (Oda rule).</t>
  </si>
  <si>
    <t xml:space="preserve">oda_commission_per_chick_tzs</t>
  </si>
  <si>
    <t xml:space="preserve">Oda commission per chick (TZS)</t>
  </si>
  <si>
    <t xml:space="preserve">Kamisheni ya Oda kwa kifaranga</t>
  </si>
  <si>
    <t xml:space="preserve">Supplier-side commission, split by Selcom. Rates still being negotiated (50-70 TZS range).</t>
  </si>
  <si>
    <t xml:space="preserve">value_code</t>
  </si>
  <si>
    <t xml:space="preserve">broiler</t>
  </si>
  <si>
    <t xml:space="preserve">Broiler (meat)</t>
  </si>
  <si>
    <t xml:space="preserve">Kuku wa nyama</t>
  </si>
  <si>
    <t xml:space="preserve">layer</t>
  </si>
  <si>
    <t xml:space="preserve">Layer (eggs)</t>
  </si>
  <si>
    <t xml:space="preserve">Kuku wa mayai</t>
  </si>
  <si>
    <t xml:space="preserve">improved_indigenous</t>
  </si>
  <si>
    <t xml:space="preserve">Improved indigenous (Sasso, Kuroiler, Tanbro)</t>
  </si>
  <si>
    <t xml:space="preserve">Kuku chotara / kienyeji kilichoboreshwa</t>
  </si>
  <si>
    <t xml:space="preserve">Wazazi</t>
  </si>
  <si>
    <t xml:space="preserve">dairy</t>
  </si>
  <si>
    <t xml:space="preserve">Dairy</t>
  </si>
  <si>
    <t xml:space="preserve">Maziwa</t>
  </si>
  <si>
    <t xml:space="preserve">beef</t>
  </si>
  <si>
    <t xml:space="preserve">Beef</t>
  </si>
  <si>
    <t xml:space="preserve">Nyama ya ng'ombe</t>
  </si>
  <si>
    <t xml:space="preserve">meat_small_ruminant</t>
  </si>
  <si>
    <t xml:space="preserve">Meat (goats/sheep)</t>
  </si>
  <si>
    <t xml:space="preserve">Nyama (mbuzi/kondoo)</t>
  </si>
  <si>
    <t xml:space="preserve">pork</t>
  </si>
  <si>
    <t xml:space="preserve">Pork</t>
  </si>
  <si>
    <t xml:space="preserve">Nyama ya nguruwe</t>
  </si>
  <si>
    <t xml:space="preserve">table_fish</t>
  </si>
  <si>
    <t xml:space="preserve">Table fish</t>
  </si>
  <si>
    <t xml:space="preserve">Samaki wa chakula</t>
  </si>
  <si>
    <t xml:space="preserve">general</t>
  </si>
  <si>
    <t xml:space="preserve">General / multi-purpose</t>
  </si>
  <si>
    <t xml:space="preserve">Matumizi ya jumla</t>
  </si>
  <si>
    <t xml:space="preserve">mash</t>
  </si>
  <si>
    <t xml:space="preserve">Mash</t>
  </si>
  <si>
    <t xml:space="preserve">Unga</t>
  </si>
  <si>
    <t xml:space="preserve">crumbs</t>
  </si>
  <si>
    <t xml:space="preserve">Crumbs</t>
  </si>
  <si>
    <t xml:space="preserve">Chembechembe</t>
  </si>
  <si>
    <t xml:space="preserve">pellets</t>
  </si>
  <si>
    <t xml:space="preserve">Pellets</t>
  </si>
  <si>
    <t xml:space="preserve">floating_pellets</t>
  </si>
  <si>
    <t xml:space="preserve">Floating pellets</t>
  </si>
  <si>
    <t xml:space="preserve">Pellets zinazoelea</t>
  </si>
  <si>
    <t xml:space="preserve">powder</t>
  </si>
  <si>
    <t xml:space="preserve">Powder (soluble)</t>
  </si>
  <si>
    <t xml:space="preserve">Unga unaoyeyuka</t>
  </si>
  <si>
    <t xml:space="preserve">granules</t>
  </si>
  <si>
    <t xml:space="preserve">Granules</t>
  </si>
  <si>
    <t xml:space="preserve">Chembe</t>
  </si>
  <si>
    <t xml:space="preserve">liquid</t>
  </si>
  <si>
    <t xml:space="preserve">Liquid / oral solution</t>
  </si>
  <si>
    <t xml:space="preserve">Kimiminika</t>
  </si>
  <si>
    <t xml:space="preserve">suspension</t>
  </si>
  <si>
    <t xml:space="preserve">Oral suspension</t>
  </si>
  <si>
    <t xml:space="preserve">Kimiminika cha kunywesha</t>
  </si>
  <si>
    <t xml:space="preserve">injectable</t>
  </si>
  <si>
    <t xml:space="preserve">Injectable</t>
  </si>
  <si>
    <t xml:space="preserve">Sindano</t>
  </si>
  <si>
    <t xml:space="preserve">spray</t>
  </si>
  <si>
    <t xml:space="preserve">Spray</t>
  </si>
  <si>
    <t xml:space="preserve">Dawa ya kupuliza</t>
  </si>
  <si>
    <t xml:space="preserve">block</t>
  </si>
  <si>
    <t xml:space="preserve">Block / lick</t>
  </si>
  <si>
    <t xml:space="preserve">Jiwe</t>
  </si>
  <si>
    <t xml:space="preserve">tablet</t>
  </si>
  <si>
    <t xml:space="preserve">Tablet / bolus</t>
  </si>
  <si>
    <t xml:space="preserve">Vidonge</t>
  </si>
  <si>
    <t xml:space="preserve">freeze_dried_vial</t>
  </si>
  <si>
    <t xml:space="preserve">Freeze-dried vial</t>
  </si>
  <si>
    <t xml:space="preserve">Chupa ya chanjo (kavu)</t>
  </si>
  <si>
    <t xml:space="preserve">whole_grain</t>
  </si>
  <si>
    <t xml:space="preserve">Whole grain / cake</t>
  </si>
  <si>
    <t xml:space="preserve">Nafaka / mashudu</t>
  </si>
  <si>
    <t xml:space="preserve">baled</t>
  </si>
  <si>
    <t xml:space="preserve">Baled / bagged forage</t>
  </si>
  <si>
    <t xml:space="preserve">Marobota</t>
  </si>
  <si>
    <t xml:space="preserve">hardware</t>
  </si>
  <si>
    <t xml:space="preserve">Hardware / equipment</t>
  </si>
  <si>
    <t xml:space="preserve">Kifaa</t>
  </si>
  <si>
    <t xml:space="preserve">live</t>
  </si>
  <si>
    <t xml:space="preserve">Live animal</t>
  </si>
  <si>
    <t xml:space="preserve">Mfugo hai</t>
  </si>
  <si>
    <t xml:space="preserve">frozen_straw</t>
  </si>
  <si>
    <t xml:space="preserve">Frozen straw</t>
  </si>
  <si>
    <t xml:space="preserve">Mrija ulioganda</t>
  </si>
  <si>
    <t xml:space="preserve">in_feed</t>
  </si>
  <si>
    <t xml:space="preserve">Mixed in feed</t>
  </si>
  <si>
    <t xml:space="preserve">Kuchanganya kwenye chakula</t>
  </si>
  <si>
    <t xml:space="preserve">drinking_water</t>
  </si>
  <si>
    <t xml:space="preserve">In drinking water</t>
  </si>
  <si>
    <t xml:space="preserve">Kwenye maji ya kunywa</t>
  </si>
  <si>
    <t xml:space="preserve">oral_drench</t>
  </si>
  <si>
    <t xml:space="preserve">Oral drench</t>
  </si>
  <si>
    <t xml:space="preserve">Kunywesha mdomoni</t>
  </si>
  <si>
    <t xml:space="preserve">injection_im</t>
  </si>
  <si>
    <t xml:space="preserve">Injection - intramuscular</t>
  </si>
  <si>
    <t xml:space="preserve">Sindano ya msuli</t>
  </si>
  <si>
    <t xml:space="preserve">injection_sc</t>
  </si>
  <si>
    <t xml:space="preserve">Injection - subcutaneous</t>
  </si>
  <si>
    <t xml:space="preserve">Sindano chini ya ngozi</t>
  </si>
  <si>
    <t xml:space="preserve">eye_nasal_drop</t>
  </si>
  <si>
    <t xml:space="preserve">Eye / nasal drop</t>
  </si>
  <si>
    <t xml:space="preserve">Tone la jicho / pua</t>
  </si>
  <si>
    <t xml:space="preserve">wing_web</t>
  </si>
  <si>
    <t xml:space="preserve">Wing-web stab</t>
  </si>
  <si>
    <t xml:space="preserve">Kuchoma bawa</t>
  </si>
  <si>
    <t xml:space="preserve">spray_dip</t>
  </si>
  <si>
    <t xml:space="preserve">Spray / dip</t>
  </si>
  <si>
    <t xml:space="preserve">Kupuliza / kuogesha</t>
  </si>
  <si>
    <t xml:space="preserve">pour_on</t>
  </si>
  <si>
    <t xml:space="preserve">Pour-on</t>
  </si>
  <si>
    <t xml:space="preserve">Kumwagia mgongoni</t>
  </si>
  <si>
    <t xml:space="preserve">topical</t>
  </si>
  <si>
    <t xml:space="preserve">Topical / dusting</t>
  </si>
  <si>
    <t xml:space="preserve">Kupaka / kunyunyiza</t>
  </si>
  <si>
    <t xml:space="preserve">free_choice</t>
  </si>
  <si>
    <t xml:space="preserve">Free-choice (lick)</t>
  </si>
  <si>
    <t xml:space="preserve">Kulamba</t>
  </si>
  <si>
    <t xml:space="preserve">surface_application</t>
  </si>
  <si>
    <t xml:space="preserve">Surface / premises</t>
  </si>
  <si>
    <t xml:space="preserve">Kwenye banda / vifaa</t>
  </si>
  <si>
    <t xml:space="preserve">not_applicable</t>
  </si>
  <si>
    <t xml:space="preserve">Not applicable</t>
  </si>
  <si>
    <t xml:space="preserve">Haihusiki</t>
  </si>
  <si>
    <t xml:space="preserve">early_growth</t>
  </si>
  <si>
    <t xml:space="preserve">Early growth / chick start</t>
  </si>
  <si>
    <t xml:space="preserve">Ukuaji wa awali</t>
  </si>
  <si>
    <t xml:space="preserve">weight_gain</t>
  </si>
  <si>
    <t xml:space="preserve">Weight gain</t>
  </si>
  <si>
    <t xml:space="preserve">Kuongeza uzito</t>
  </si>
  <si>
    <t xml:space="preserve">egg_production</t>
  </si>
  <si>
    <t xml:space="preserve">Egg production</t>
  </si>
  <si>
    <t xml:space="preserve">Kuongeza mayai</t>
  </si>
  <si>
    <t xml:space="preserve">milk_yield</t>
  </si>
  <si>
    <t xml:space="preserve">Milk yield</t>
  </si>
  <si>
    <t xml:space="preserve">Kuongeza maziwa</t>
  </si>
  <si>
    <t xml:space="preserve">heat_stress</t>
  </si>
  <si>
    <t xml:space="preserve">Heat stress</t>
  </si>
  <si>
    <t xml:space="preserve">Joto kali</t>
  </si>
  <si>
    <t xml:space="preserve">dehydration</t>
  </si>
  <si>
    <t xml:space="preserve">Dehydration</t>
  </si>
  <si>
    <t xml:space="preserve">Upungufu wa maji</t>
  </si>
  <si>
    <t xml:space="preserve">stress_vaccination_transport</t>
  </si>
  <si>
    <t xml:space="preserve">Stress (vaccination, transport)</t>
  </si>
  <si>
    <t xml:space="preserve">Msongo (chanjo, usafiri)</t>
  </si>
  <si>
    <t xml:space="preserve">immunity</t>
  </si>
  <si>
    <t xml:space="preserve">Immunity</t>
  </si>
  <si>
    <t xml:space="preserve">Kinga ya mwili</t>
  </si>
  <si>
    <t xml:space="preserve">gut_health</t>
  </si>
  <si>
    <t xml:space="preserve">Gut health / digestion</t>
  </si>
  <si>
    <t xml:space="preserve">Afya ya tumbo</t>
  </si>
  <si>
    <t xml:space="preserve">mycotoxins</t>
  </si>
  <si>
    <t xml:space="preserve">Mycotoxins / aflatoxin</t>
  </si>
  <si>
    <t xml:space="preserve">Sumu ya kuvu</t>
  </si>
  <si>
    <t xml:space="preserve">worms</t>
  </si>
  <si>
    <t xml:space="preserve">Worms</t>
  </si>
  <si>
    <t xml:space="preserve">Minyoo</t>
  </si>
  <si>
    <t xml:space="preserve">coccidiosis</t>
  </si>
  <si>
    <t xml:space="preserve">Coccidiosis</t>
  </si>
  <si>
    <t xml:space="preserve">Kuhara damu</t>
  </si>
  <si>
    <t xml:space="preserve">respiratory</t>
  </si>
  <si>
    <t xml:space="preserve">Respiratory disease</t>
  </si>
  <si>
    <t xml:space="preserve">Mafua / magonjwa ya kupumua</t>
  </si>
  <si>
    <t xml:space="preserve">bacterial_infection</t>
  </si>
  <si>
    <t xml:space="preserve">Bacterial infection</t>
  </si>
  <si>
    <t xml:space="preserve">Maambukizi ya bakteria</t>
  </si>
  <si>
    <t xml:space="preserve">diarrhoea</t>
  </si>
  <si>
    <t xml:space="preserve">Diarrhoea</t>
  </si>
  <si>
    <t xml:space="preserve">Kuhara</t>
  </si>
  <si>
    <t xml:space="preserve">ticks</t>
  </si>
  <si>
    <t xml:space="preserve">Ticks</t>
  </si>
  <si>
    <t xml:space="preserve">Kupe</t>
  </si>
  <si>
    <t xml:space="preserve">mites_lice</t>
  </si>
  <si>
    <t xml:space="preserve">Mites / lice / fleas</t>
  </si>
  <si>
    <t xml:space="preserve">Utitiri / chawa / viroboto</t>
  </si>
  <si>
    <t xml:space="preserve">wounds</t>
  </si>
  <si>
    <t xml:space="preserve">Wounds</t>
  </si>
  <si>
    <t xml:space="preserve">Vidonda</t>
  </si>
  <si>
    <t xml:space="preserve">milk_fever</t>
  </si>
  <si>
    <t xml:space="preserve">Milk fever</t>
  </si>
  <si>
    <t xml:space="preserve">Homa ya maziwa</t>
  </si>
  <si>
    <t xml:space="preserve">biosecurity</t>
  </si>
  <si>
    <t xml:space="preserve">Biosecurity / disinfection</t>
  </si>
  <si>
    <t xml:space="preserve">Usafi na kinga</t>
  </si>
  <si>
    <t xml:space="preserve">rodents</t>
  </si>
  <si>
    <t xml:space="preserve">Rodents</t>
  </si>
  <si>
    <t xml:space="preserve">Panya</t>
  </si>
  <si>
    <t xml:space="preserve">disease_prevention</t>
  </si>
  <si>
    <t xml:space="preserve">Disease prevention (vaccination)</t>
  </si>
  <si>
    <t xml:space="preserve">Kinga dhidi ya magonjwa</t>
  </si>
  <si>
    <t xml:space="preserve">feed_mixing</t>
  </si>
  <si>
    <t xml:space="preserve">Home / farm feed mixing</t>
  </si>
  <si>
    <t xml:space="preserve">Kuchanganya chakula shambani</t>
  </si>
  <si>
    <t xml:space="preserve">brooding</t>
  </si>
  <si>
    <t xml:space="preserve">Brooding</t>
  </si>
  <si>
    <t xml:space="preserve">Kulea vifaranga</t>
  </si>
  <si>
    <t xml:space="preserve">hatching</t>
  </si>
  <si>
    <t xml:space="preserve">Hatching</t>
  </si>
  <si>
    <t xml:space="preserve">Kutotolesha</t>
  </si>
  <si>
    <t xml:space="preserve">Breeding / genetics</t>
  </si>
  <si>
    <t xml:space="preserve">Uzalishaji / mbegu</t>
  </si>
  <si>
    <t xml:space="preserve">equipment_general</t>
  </si>
  <si>
    <t xml:space="preserve">General farm equipment</t>
  </si>
  <si>
    <t xml:space="preserve">Vifaa vya shamba</t>
  </si>
  <si>
    <t xml:space="preserve">newcastle</t>
  </si>
  <si>
    <t xml:space="preserve">Newcastle disease</t>
  </si>
  <si>
    <t xml:space="preserve">Kideri / mdondo</t>
  </si>
  <si>
    <t xml:space="preserve">gumboro</t>
  </si>
  <si>
    <t xml:space="preserve">Gumboro (IBD)</t>
  </si>
  <si>
    <t xml:space="preserve">Gumboro</t>
  </si>
  <si>
    <t xml:space="preserve">fowl_pox</t>
  </si>
  <si>
    <t xml:space="preserve">Fowl pox</t>
  </si>
  <si>
    <t xml:space="preserve">Ndui ya kuku</t>
  </si>
  <si>
    <t xml:space="preserve">mareks</t>
  </si>
  <si>
    <t xml:space="preserve">Marek's disease</t>
  </si>
  <si>
    <t xml:space="preserve">Mareks</t>
  </si>
  <si>
    <t xml:space="preserve">fowl_typhoid</t>
  </si>
  <si>
    <t xml:space="preserve">Fowl typhoid</t>
  </si>
  <si>
    <t xml:space="preserve">Homa ya matumbo ya kuku</t>
  </si>
  <si>
    <t xml:space="preserve">infectious_bronchitis</t>
  </si>
  <si>
    <t xml:space="preserve">Infectious bronchitis</t>
  </si>
  <si>
    <t xml:space="preserve">Mafua ya kuku (IB)</t>
  </si>
  <si>
    <t xml:space="preserve">lumpy_skin</t>
  </si>
  <si>
    <t xml:space="preserve">Lumpy skin disease</t>
  </si>
  <si>
    <t xml:space="preserve">Ugonjwa wa ngozi (LSD)</t>
  </si>
  <si>
    <t xml:space="preserve">anthrax</t>
  </si>
  <si>
    <t xml:space="preserve">Anthrax</t>
  </si>
  <si>
    <t xml:space="preserve">Kimeta</t>
  </si>
  <si>
    <t xml:space="preserve">ppr</t>
  </si>
  <si>
    <t xml:space="preserve">PPR (goat plague)</t>
  </si>
  <si>
    <t xml:space="preserve">Sotoka ya mbuzi na kondoo</t>
  </si>
  <si>
    <t xml:space="preserve">ecf</t>
  </si>
  <si>
    <t xml:space="preserve">East Coast Fever</t>
  </si>
  <si>
    <t xml:space="preserve">Ndigana kali</t>
  </si>
  <si>
    <t xml:space="preserve">crd</t>
  </si>
  <si>
    <t xml:space="preserve">Chronic respiratory disease</t>
  </si>
  <si>
    <t xml:space="preserve">Mafua sugu ya kuku (CRD)</t>
  </si>
  <si>
    <t xml:space="preserve">Animal feed</t>
  </si>
  <si>
    <t xml:space="preserve">Chakula cha mifugo</t>
  </si>
  <si>
    <t xml:space="preserve">feed_additive</t>
  </si>
  <si>
    <t xml:space="preserve">Feed additive / supplement</t>
  </si>
  <si>
    <t xml:space="preserve">Kiongezeo cha chakula</t>
  </si>
  <si>
    <t xml:space="preserve">otc_vet_medicine</t>
  </si>
  <si>
    <t xml:space="preserve">Veterinary medicine - over the counter</t>
  </si>
  <si>
    <t xml:space="preserve">Dawa ya mifugo bila cheti</t>
  </si>
  <si>
    <t xml:space="preserve">prescription_vet_medicine</t>
  </si>
  <si>
    <t xml:space="preserve">Veterinary medicine - prescription / vet supervision</t>
  </si>
  <si>
    <t xml:space="preserve">Dawa ya mifugo kwa cheti</t>
  </si>
  <si>
    <t xml:space="preserve">vaccine_biological</t>
  </si>
  <si>
    <t xml:space="preserve">Vaccine / biological</t>
  </si>
  <si>
    <t xml:space="preserve">pesticide_acaricide</t>
  </si>
  <si>
    <t xml:space="preserve">Pesticide / acaricide / rodenticide</t>
  </si>
  <si>
    <t xml:space="preserve">Kiuatilifu</t>
  </si>
  <si>
    <t xml:space="preserve">disinfectant</t>
  </si>
  <si>
    <t xml:space="preserve">Disinfectant</t>
  </si>
  <si>
    <t xml:space="preserve">Dawa ya kuua vijidudu</t>
  </si>
  <si>
    <t xml:space="preserve">Equipment (unregulated)</t>
  </si>
  <si>
    <t xml:space="preserve">live_animal</t>
  </si>
  <si>
    <t xml:space="preserve">Live animal (movement permit rules)</t>
  </si>
  <si>
    <t xml:space="preserve">genetic_material</t>
  </si>
  <si>
    <t xml:space="preserve">Genetic material (semen/embryos)</t>
  </si>
  <si>
    <t xml:space="preserve">Mbegu za uzazi</t>
  </si>
  <si>
    <t xml:space="preserve">manual</t>
  </si>
  <si>
    <t xml:space="preserve">Manual / none</t>
  </si>
  <si>
    <t xml:space="preserve">Hakuna</t>
  </si>
  <si>
    <t xml:space="preserve">electric</t>
  </si>
  <si>
    <t xml:space="preserve">Electric (mains)</t>
  </si>
  <si>
    <t xml:space="preserve">Umeme</t>
  </si>
  <si>
    <t xml:space="preserve">solar_electric</t>
  </si>
  <si>
    <t xml:space="preserve">Solar + electric</t>
  </si>
  <si>
    <t xml:space="preserve">Jua na umeme</t>
  </si>
  <si>
    <t xml:space="preserve">charcoal</t>
  </si>
  <si>
    <t xml:space="preserve">Charcoal</t>
  </si>
  <si>
    <t xml:space="preserve">Mkaa</t>
  </si>
  <si>
    <t xml:space="preserve">gas</t>
  </si>
  <si>
    <t xml:space="preserve">Gas</t>
  </si>
  <si>
    <t xml:space="preserve">Gesi</t>
  </si>
  <si>
    <t xml:space="preserve">kerosene</t>
  </si>
  <si>
    <t xml:space="preserve">Kerosene</t>
  </si>
  <si>
    <t xml:space="preserve">Mafuta ya taa</t>
  </si>
  <si>
    <t xml:space="preserve">g</t>
  </si>
  <si>
    <t xml:space="preserve">grams</t>
  </si>
  <si>
    <t xml:space="preserve">gramu</t>
  </si>
  <si>
    <t xml:space="preserve">kg</t>
  </si>
  <si>
    <t xml:space="preserve">kilograms</t>
  </si>
  <si>
    <t xml:space="preserve">kilo</t>
  </si>
  <si>
    <t xml:space="preserve">ml</t>
  </si>
  <si>
    <t xml:space="preserve">millilitres</t>
  </si>
  <si>
    <t xml:space="preserve">mililita</t>
  </si>
  <si>
    <t xml:space="preserve">L</t>
  </si>
  <si>
    <t xml:space="preserve">litres</t>
  </si>
  <si>
    <t xml:space="preserve">lita</t>
  </si>
  <si>
    <t xml:space="preserve">doses</t>
  </si>
  <si>
    <t xml:space="preserve">dozi</t>
  </si>
  <si>
    <t xml:space="preserve">pcs</t>
  </si>
  <si>
    <t xml:space="preserve">pieces</t>
  </si>
  <si>
    <t xml:space="preserve">vipande</t>
  </si>
  <si>
    <t xml:space="preserve">birds</t>
  </si>
  <si>
    <t xml:space="preserve">kuku</t>
  </si>
  <si>
    <t xml:space="preserve">head</t>
  </si>
  <si>
    <t xml:space="preserve">kichwa</t>
  </si>
  <si>
    <t xml:space="preserve">straws</t>
  </si>
  <si>
    <t xml:space="preserve">mirija</t>
  </si>
  <si>
    <t xml:space="preserve">bag</t>
  </si>
  <si>
    <t xml:space="preserve">mfuko</t>
  </si>
  <si>
    <t xml:space="preserve">sachet</t>
  </si>
  <si>
    <t xml:space="preserve">pakiti</t>
  </si>
  <si>
    <t xml:space="preserve">bottle</t>
  </si>
  <si>
    <t xml:space="preserve">chupa</t>
  </si>
  <si>
    <t xml:space="preserve">vial</t>
  </si>
  <si>
    <t xml:space="preserve">kichupa</t>
  </si>
  <si>
    <t xml:space="preserve">tin</t>
  </si>
  <si>
    <t xml:space="preserve">kopo</t>
  </si>
  <si>
    <t xml:space="preserve">piece</t>
  </si>
  <si>
    <t xml:space="preserve">kipande</t>
  </si>
  <si>
    <t xml:space="preserve">box</t>
  </si>
  <si>
    <t xml:space="preserve">boksi</t>
  </si>
  <si>
    <t xml:space="preserve">pack</t>
  </si>
  <si>
    <t xml:space="preserve">bale</t>
  </si>
  <si>
    <t xml:space="preserve">robota</t>
  </si>
  <si>
    <t xml:space="preserve">bird</t>
  </si>
  <si>
    <t xml:space="preserve">straw</t>
  </si>
  <si>
    <t xml:space="preserve">mrija</t>
  </si>
  <si>
    <t xml:space="preserve">set</t>
  </si>
  <si>
    <t xml:space="preserve">seti</t>
  </si>
  <si>
    <t xml:space="preserve">term</t>
  </si>
  <si>
    <t xml:space="preserve">language</t>
  </si>
  <si>
    <t xml:space="preserve">maps_to_type</t>
  </si>
  <si>
    <t xml:space="preserve">maps_to_id</t>
  </si>
  <si>
    <t xml:space="preserve">sw</t>
  </si>
  <si>
    <t xml:space="preserve">animal</t>
  </si>
  <si>
    <t xml:space="preserve">vifaranga</t>
  </si>
  <si>
    <t xml:space="preserve">category</t>
  </si>
  <si>
    <t xml:space="preserve">Also boosts starter feed (LS-POU-STR).</t>
  </si>
  <si>
    <t xml:space="preserve">kuku wa nyama</t>
  </si>
  <si>
    <t xml:space="preserve">broila</t>
  </si>
  <si>
    <t xml:space="preserve">Common Swahili spelling</t>
  </si>
  <si>
    <t xml:space="preserve">kuku wa mayai</t>
  </si>
  <si>
    <t xml:space="preserve">leya</t>
  </si>
  <si>
    <t xml:space="preserve">kuku wa kienyeji</t>
  </si>
  <si>
    <t xml:space="preserve">chotara</t>
  </si>
  <si>
    <t xml:space="preserve">bata</t>
  </si>
  <si>
    <t xml:space="preserve">ng'ombe</t>
  </si>
  <si>
    <t xml:space="preserve">Also index 'ngombe' without apostrophe</t>
  </si>
  <si>
    <t xml:space="preserve">ng'ombe wa maziwa</t>
  </si>
  <si>
    <t xml:space="preserve">mbuzi</t>
  </si>
  <si>
    <t xml:space="preserve">kondoo</t>
  </si>
  <si>
    <t xml:space="preserve">nguruwe</t>
  </si>
  <si>
    <t xml:space="preserve">samaki</t>
  </si>
  <si>
    <t xml:space="preserve">sato</t>
  </si>
  <si>
    <t xml:space="preserve">kambale</t>
  </si>
  <si>
    <t xml:space="preserve">sungura</t>
  </si>
  <si>
    <t xml:space="preserve">chakula</t>
  </si>
  <si>
    <t xml:space="preserve">chakula cha kuku</t>
  </si>
  <si>
    <t xml:space="preserve">category+animal</t>
  </si>
  <si>
    <t xml:space="preserve">C10|AN-CHK</t>
  </si>
  <si>
    <t xml:space="preserve">pumba</t>
  </si>
  <si>
    <t xml:space="preserve">product_term</t>
  </si>
  <si>
    <t xml:space="preserve">maize bran</t>
  </si>
  <si>
    <t xml:space="preserve">Raw material C1040</t>
  </si>
  <si>
    <t xml:space="preserve">mashudu</t>
  </si>
  <si>
    <t xml:space="preserve">sunflower cake</t>
  </si>
  <si>
    <t xml:space="preserve">soya</t>
  </si>
  <si>
    <t xml:space="preserve">soybean meal</t>
  </si>
  <si>
    <t xml:space="preserve">dagaa</t>
  </si>
  <si>
    <t xml:space="preserve">fish meal</t>
  </si>
  <si>
    <t xml:space="preserve">chokaa</t>
  </si>
  <si>
    <t xml:space="preserve">limestone</t>
  </si>
  <si>
    <t xml:space="preserve">mahindi</t>
  </si>
  <si>
    <t xml:space="preserve">maize</t>
  </si>
  <si>
    <t xml:space="preserve">majani makavu</t>
  </si>
  <si>
    <t xml:space="preserve">hay</t>
  </si>
  <si>
    <t xml:space="preserve">kontsentreti</t>
  </si>
  <si>
    <t xml:space="preserve">Also 'concentrate'</t>
  </si>
  <si>
    <t xml:space="preserve">premiksi</t>
  </si>
  <si>
    <t xml:space="preserve">vitamini</t>
  </si>
  <si>
    <t xml:space="preserve">madini</t>
  </si>
  <si>
    <t xml:space="preserve">jiwe la chumvi</t>
  </si>
  <si>
    <t xml:space="preserve">Mineral lick</t>
  </si>
  <si>
    <t xml:space="preserve">dawa</t>
  </si>
  <si>
    <t xml:space="preserve">dawa ya minyoo</t>
  </si>
  <si>
    <t xml:space="preserve">minyoo</t>
  </si>
  <si>
    <t xml:space="preserve">use_case</t>
  </si>
  <si>
    <t xml:space="preserve">kupe</t>
  </si>
  <si>
    <t xml:space="preserve">utitiri</t>
  </si>
  <si>
    <t xml:space="preserve">chawa</t>
  </si>
  <si>
    <t xml:space="preserve">kuhara damu</t>
  </si>
  <si>
    <t xml:space="preserve">kuhara</t>
  </si>
  <si>
    <t xml:space="preserve">mafua</t>
  </si>
  <si>
    <t xml:space="preserve">vidonda</t>
  </si>
  <si>
    <t xml:space="preserve">joto</t>
  </si>
  <si>
    <t xml:space="preserve">joto kali</t>
  </si>
  <si>
    <t xml:space="preserve">kuongeza mayai</t>
  </si>
  <si>
    <t xml:space="preserve">kunenepesha</t>
  </si>
  <si>
    <t xml:space="preserve">maziwa mengi</t>
  </si>
  <si>
    <t xml:space="preserve">kinga</t>
  </si>
  <si>
    <t xml:space="preserve">sumu ya kuvu</t>
  </si>
  <si>
    <t xml:space="preserve">chanjo</t>
  </si>
  <si>
    <t xml:space="preserve">kideri</t>
  </si>
  <si>
    <t xml:space="preserve">disease</t>
  </si>
  <si>
    <t xml:space="preserve">mdondo</t>
  </si>
  <si>
    <t xml:space="preserve">ndui ya kuku</t>
  </si>
  <si>
    <t xml:space="preserve">kimeta</t>
  </si>
  <si>
    <t xml:space="preserve">sotoka</t>
  </si>
  <si>
    <t xml:space="preserve">ndigana kali</t>
  </si>
  <si>
    <t xml:space="preserve">dawa ya kuua vijidudu</t>
  </si>
  <si>
    <t xml:space="preserve">panya</t>
  </si>
  <si>
    <t xml:space="preserve">chombo cha maji</t>
  </si>
  <si>
    <t xml:space="preserve">Drinker</t>
  </si>
  <si>
    <t xml:space="preserve">drinka</t>
  </si>
  <si>
    <t xml:space="preserve">Common loan word</t>
  </si>
  <si>
    <t xml:space="preserve">fida</t>
  </si>
  <si>
    <t xml:space="preserve">Feeder, common loan word</t>
  </si>
  <si>
    <t xml:space="preserve">bruda</t>
  </si>
  <si>
    <t xml:space="preserve">Brooder</t>
  </si>
  <si>
    <t xml:space="preserve">taa ya joto</t>
  </si>
  <si>
    <t xml:space="preserve">banda</t>
  </si>
  <si>
    <t xml:space="preserve">kizimba</t>
  </si>
  <si>
    <t xml:space="preserve">Cage</t>
  </si>
  <si>
    <t xml:space="preserve">mashine ya kutotolesha</t>
  </si>
  <si>
    <t xml:space="preserve">incubator</t>
  </si>
  <si>
    <t xml:space="preserve">en</t>
  </si>
  <si>
    <t xml:space="preserve">trei za mayai</t>
  </si>
  <si>
    <t xml:space="preserve">sindano</t>
  </si>
  <si>
    <t xml:space="preserve">mizani</t>
  </si>
  <si>
    <t xml:space="preserve">uhimilishaji</t>
  </si>
  <si>
    <t xml:space="preserve">Artificial insemination</t>
  </si>
  <si>
    <t xml:space="preserve">mbegu ya ng'ombe</t>
  </si>
  <si>
    <t xml:space="preserve">heat stress</t>
  </si>
  <si>
    <t xml:space="preserve">dewormer</t>
  </si>
  <si>
    <t xml:space="preserve">electrolyte</t>
  </si>
  <si>
    <t xml:space="preserve">name</t>
  </si>
  <si>
    <t xml:space="preserve">role</t>
  </si>
  <si>
    <t xml:space="preserve">country</t>
  </si>
  <si>
    <t xml:space="preserve">is_demo</t>
  </si>
  <si>
    <t xml:space="preserve">BR-AMS</t>
  </si>
  <si>
    <t xml:space="preserve">Amsterdam Group</t>
  </si>
  <si>
    <t xml:space="preserve">Brand owner / distributor / feed manufacturer</t>
  </si>
  <si>
    <t xml:space="preserve">Tanzania</t>
  </si>
  <si>
    <t xml:space="preserve">FALSE</t>
  </si>
  <si>
    <t xml:space="preserve">Real seller. Pig concentrate is made in Tegeta-Wazo per bag label; Vitamix/Clear Heat sachets are made by a contract manufacturer in China per label.</t>
  </si>
  <si>
    <t xml:space="preserve">BR-SIL</t>
  </si>
  <si>
    <t xml:space="preserve">Silverlands</t>
  </si>
  <si>
    <t xml:space="preserve">Manufacturer (feed, day-old chicks)</t>
  </si>
  <si>
    <t xml:space="preserve">Already a producer in the live system. Products/prices here are dummy.</t>
  </si>
  <si>
    <t xml:space="preserve">BR-BORA</t>
  </si>
  <si>
    <t xml:space="preserve">Bora Feeds (demo)</t>
  </si>
  <si>
    <t xml:space="preserve">Manufacturer (feed)</t>
  </si>
  <si>
    <t xml:space="preserve">TRUE</t>
  </si>
  <si>
    <t xml:space="preserve">Already in the live system as a demo producer.</t>
  </si>
  <si>
    <t xml:space="preserve">BR-SHF</t>
  </si>
  <si>
    <t xml:space="preserve">Shamba Feeds (demo)</t>
  </si>
  <si>
    <t xml:space="preserve">Fictional.</t>
  </si>
  <si>
    <t xml:space="preserve">BR-ULU</t>
  </si>
  <si>
    <t xml:space="preserve">Uluguru Agro (demo)</t>
  </si>
  <si>
    <t xml:space="preserve">Manufacturer (ruminant feed, licks)</t>
  </si>
  <si>
    <t xml:space="preserve">BR-ZWA</t>
  </si>
  <si>
    <t xml:space="preserve">Ziwa Aqua (demo)</t>
  </si>
  <si>
    <t xml:space="preserve">Manufacturer (fish feed, fingerlings)</t>
  </si>
  <si>
    <t xml:space="preserve">BR-NYR</t>
  </si>
  <si>
    <t xml:space="preserve">Nyanda Raw Materials (demo)</t>
  </si>
  <si>
    <t xml:space="preserve">Supplier (raw materials)</t>
  </si>
  <si>
    <t xml:space="preserve">BR-NYN</t>
  </si>
  <si>
    <t xml:space="preserve">Nyanda Nutrition (demo)</t>
  </si>
  <si>
    <t xml:space="preserve">Manufacturer (premixes, additives)</t>
  </si>
  <si>
    <t xml:space="preserve">BR-KLV</t>
  </si>
  <si>
    <t xml:space="preserve">KiliVet (demo)</t>
  </si>
  <si>
    <t xml:space="preserve">Manufacturer (supplements)</t>
  </si>
  <si>
    <t xml:space="preserve">Kenya</t>
  </si>
  <si>
    <t xml:space="preserve">BR-AFM</t>
  </si>
  <si>
    <t xml:space="preserve">Afya Mifugo Pharma (demo)</t>
  </si>
  <si>
    <t xml:space="preserve">Manufacturer (veterinary medicines)</t>
  </si>
  <si>
    <t xml:space="preserve">India</t>
  </si>
  <si>
    <t xml:space="preserve">BR-KNG</t>
  </si>
  <si>
    <t xml:space="preserve">Kinga Vaccines (demo)</t>
  </si>
  <si>
    <t xml:space="preserve">Manufacturer (vaccines)</t>
  </si>
  <si>
    <t xml:space="preserve">BR-SFH</t>
  </si>
  <si>
    <t xml:space="preserve">SafiFarm Hygiene (demo)</t>
  </si>
  <si>
    <t xml:space="preserve">Manufacturer (disinfectants, pest control)</t>
  </si>
  <si>
    <t xml:space="preserve">South Africa</t>
  </si>
  <si>
    <t xml:space="preserve">BR-BND</t>
  </si>
  <si>
    <t xml:space="preserve">Banda Equipment (demo)</t>
  </si>
  <si>
    <t xml:space="preserve">Manufacturer / importer (equipment)</t>
  </si>
  <si>
    <t xml:space="preserve">China</t>
  </si>
  <si>
    <t xml:space="preserve">BR-GEN</t>
  </si>
  <si>
    <t xml:space="preserve">Genetics East Africa (demo)</t>
  </si>
  <si>
    <t xml:space="preserve">Supplier (semen, breeding stock)</t>
  </si>
  <si>
    <t xml:space="preserve">Netherlands</t>
  </si>
  <si>
    <t xml:space="preserve">BR-KIBO</t>
  </si>
  <si>
    <t xml:space="preserve">Kibo</t>
  </si>
  <si>
    <t xml:space="preserve">Hatchery (day-old chicks)</t>
  </si>
  <si>
    <t xml:space="preserve">Oda supplier migrated into the catalogue. Chick types as on Oda; prices and capacities in this file are dummy.</t>
  </si>
  <si>
    <t xml:space="preserve">BR-HARS</t>
  </si>
  <si>
    <t xml:space="preserve">Harsho</t>
  </si>
  <si>
    <t xml:space="preserve">BR-BACK</t>
  </si>
  <si>
    <t xml:space="preserve">Backbone</t>
  </si>
  <si>
    <t xml:space="preserve">BR-IRVN</t>
  </si>
  <si>
    <t xml:space="preserve">Irvines</t>
  </si>
  <si>
    <t xml:space="preserve">BR-ORGN</t>
  </si>
  <si>
    <t xml:space="preserve">Organia</t>
  </si>
  <si>
    <t xml:space="preserve">BR-HAPP</t>
  </si>
  <si>
    <t xml:space="preserve">Happy Chicks</t>
  </si>
  <si>
    <t xml:space="preserve">BR-CENT</t>
  </si>
  <si>
    <t xml:space="preserve">Central Chicks (Animal Care)</t>
  </si>
  <si>
    <t xml:space="preserve">BR-TPF</t>
  </si>
  <si>
    <t xml:space="preserve">Tanzania Poultry Farms</t>
  </si>
  <si>
    <t xml:space="preserve">BR-MKUZ</t>
  </si>
  <si>
    <t xml:space="preserve">Mkuza Chicks</t>
  </si>
  <si>
    <t xml:space="preserve">BR-INTR</t>
  </si>
  <si>
    <t xml:space="preserve">Interchick</t>
  </si>
  <si>
    <t xml:space="preserve">seller_id</t>
  </si>
  <si>
    <t xml:space="preserve">seller_type</t>
  </si>
  <si>
    <t xml:space="preserve">display_name</t>
  </si>
  <si>
    <t xml:space="preserve">legal_name</t>
  </si>
  <si>
    <t xml:space="preserve">website</t>
  </si>
  <si>
    <t xml:space="preserve">hq_phone</t>
  </si>
  <si>
    <t xml:space="preserve">hq_store_id</t>
  </si>
  <si>
    <t xml:space="preserve">status</t>
  </si>
  <si>
    <t xml:space="preserve">SEL-AMS</t>
  </si>
  <si>
    <t xml:space="preserve">Agrovet (multi-store)</t>
  </si>
  <si>
    <t xml:space="preserve">Amsterdam Group (legal name to confirm)</t>
  </si>
  <si>
    <t xml:space="preserve">www.amsterdamgroup.co.tz</t>
  </si>
  <si>
    <t xml:space="preserve">+255 622 531 253</t>
  </si>
  <si>
    <t xml:space="preserve">ST-AMS-TEG</t>
  </si>
  <si>
    <t xml:space="preserve">active</t>
  </si>
  <si>
    <t xml:space="preserve">Website and phone as printed on the Amsterdam product catalogue. Live system currently spells the seller 'Amsterderm Group' and stores 'Amsterdem Group' - standardise to 'Amsterdam'.</t>
  </si>
  <si>
    <t xml:space="preserve">SEL-KIBO</t>
  </si>
  <si>
    <t xml:space="preserve">Hatchery</t>
  </si>
  <si>
    <t xml:space="preserve">Kibo (legal name to confirm)</t>
  </si>
  <si>
    <t xml:space="preserve">migrate from Oda tenant</t>
  </si>
  <si>
    <t xml:space="preserve">Hatchery seller. Was Oda tenant at kibo.oda.co.tz (slug pattern assumed from kibo.oda.co.tz). Map its Selcom merchant account; Oda commission is charged per chick.</t>
  </si>
  <si>
    <t xml:space="preserve">SEL-HARS</t>
  </si>
  <si>
    <t xml:space="preserve">Harsho (legal name to confirm)</t>
  </si>
  <si>
    <t xml:space="preserve">Hatchery seller. Was Oda tenant at harsho.oda.co.tz (slug pattern assumed from kibo.oda.co.tz). Map its Selcom merchant account; Oda commission is charged per chick.</t>
  </si>
  <si>
    <t xml:space="preserve">SEL-BACK</t>
  </si>
  <si>
    <t xml:space="preserve">Backbone (legal name to confirm)</t>
  </si>
  <si>
    <t xml:space="preserve">Hatchery seller. Was Oda tenant at backbone.oda.co.tz (slug pattern assumed from kibo.oda.co.tz). Map its Selcom merchant account; Oda commission is charged per chick.</t>
  </si>
  <si>
    <t xml:space="preserve">SEL-IRVN</t>
  </si>
  <si>
    <t xml:space="preserve">Irvines (legal name to confirm)</t>
  </si>
  <si>
    <t xml:space="preserve">Hatchery seller. Was Oda tenant at irvines.oda.co.tz (slug pattern assumed from kibo.oda.co.tz). Map its Selcom merchant account; Oda commission is charged per chick.</t>
  </si>
  <si>
    <t xml:space="preserve">SEL-ORGN</t>
  </si>
  <si>
    <t xml:space="preserve">Organia (legal name to confirm)</t>
  </si>
  <si>
    <t xml:space="preserve">Hatchery seller. Was Oda tenant at organia.oda.co.tz (slug pattern assumed from kibo.oda.co.tz). Map its Selcom merchant account; Oda commission is charged per chick.</t>
  </si>
  <si>
    <t xml:space="preserve">SEL-HAPP</t>
  </si>
  <si>
    <t xml:space="preserve">Happy Chicks (legal name to confirm)</t>
  </si>
  <si>
    <t xml:space="preserve">Hatchery seller. Was Oda tenant at happychicks.oda.co.tz (slug pattern assumed from kibo.oda.co.tz). Map its Selcom merchant account; Oda commission is charged per chick.</t>
  </si>
  <si>
    <t xml:space="preserve">SEL-CENT</t>
  </si>
  <si>
    <t xml:space="preserve">Central Chicks (Animal Care) (legal name to confirm)</t>
  </si>
  <si>
    <t xml:space="preserve">Hatchery seller. Was Oda tenant at centralchicks.oda.co.tz (slug pattern assumed from kibo.oda.co.tz). Map its Selcom merchant account; Oda commission is charged per chick.</t>
  </si>
  <si>
    <t xml:space="preserve">SEL-TPF</t>
  </si>
  <si>
    <t xml:space="preserve">Tanzania Poultry Farms (legal name to confirm)</t>
  </si>
  <si>
    <t xml:space="preserve">Hatchery seller. Was Oda tenant at tpf.oda.co.tz (slug pattern assumed from kibo.oda.co.tz). Map its Selcom merchant account; Oda commission is charged per chick.</t>
  </si>
  <si>
    <t xml:space="preserve">SEL-MKUZ</t>
  </si>
  <si>
    <t xml:space="preserve">Mkuza Chicks (legal name to confirm)</t>
  </si>
  <si>
    <t xml:space="preserve">Hatchery seller. Was Oda tenant at mkuza.oda.co.tz (slug pattern assumed from kibo.oda.co.tz). Map its Selcom merchant account; Oda commission is charged per chick.</t>
  </si>
  <si>
    <t xml:space="preserve">SEL-INTR</t>
  </si>
  <si>
    <t xml:space="preserve">Interchick (legal name to confirm)</t>
  </si>
  <si>
    <t xml:space="preserve">Hatchery seller. Was Oda tenant at interchick.oda.co.tz (slug pattern assumed from kibo.oda.co.tz). Map its Selcom merchant account; Oda commission is charged per chick.</t>
  </si>
  <si>
    <t xml:space="preserve">SEL-SIL</t>
  </si>
  <si>
    <t xml:space="preserve">Silverlands (legal name to confirm)</t>
  </si>
  <si>
    <t xml:space="preserve">Hatchery seller. Was Oda tenant at silverlands.oda.co.tz (slug pattern assumed from kibo.oda.co.tz). Map its Selcom merchant account; Oda commission is charged per chick.</t>
  </si>
  <si>
    <t xml:space="preserve">region_id</t>
  </si>
  <si>
    <t xml:space="preserve">region_name</t>
  </si>
  <si>
    <t xml:space="preserve">centroid_lat</t>
  </si>
  <si>
    <t xml:space="preserve">centroid_lng</t>
  </si>
  <si>
    <t xml:space="preserve">zone</t>
  </si>
  <si>
    <t xml:space="preserve">store_count</t>
  </si>
  <si>
    <t xml:space="preserve">REG-DAR</t>
  </si>
  <si>
    <t xml:space="preserve">Dar es Salaam</t>
  </si>
  <si>
    <t xml:space="preserve">Coastal</t>
  </si>
  <si>
    <t xml:space="preserve">REG-MOR</t>
  </si>
  <si>
    <t xml:space="preserve">Morogoro</t>
  </si>
  <si>
    <t xml:space="preserve">Eastern / central corridor</t>
  </si>
  <si>
    <t xml:space="preserve">REG-MBY</t>
  </si>
  <si>
    <t xml:space="preserve">Mbeya</t>
  </si>
  <si>
    <t xml:space="preserve">Southern Highlands</t>
  </si>
  <si>
    <t xml:space="preserve">REG-ARU</t>
  </si>
  <si>
    <t xml:space="preserve">Arusha</t>
  </si>
  <si>
    <t xml:space="preserve">Northern</t>
  </si>
  <si>
    <t xml:space="preserve">REG-MWZ</t>
  </si>
  <si>
    <t xml:space="preserve">Mwanza</t>
  </si>
  <si>
    <t xml:space="preserve">Lake Zone</t>
  </si>
  <si>
    <t xml:space="preserve">store_id</t>
  </si>
  <si>
    <t xml:space="preserve">store_code</t>
  </si>
  <si>
    <t xml:space="preserve">store_name</t>
  </si>
  <si>
    <t xml:space="preserve">district</t>
  </si>
  <si>
    <t xml:space="preserve">area</t>
  </si>
  <si>
    <t xml:space="preserve">street_address</t>
  </si>
  <si>
    <t xml:space="preserve">landmark</t>
  </si>
  <si>
    <t xml:space="preserve">latitude</t>
  </si>
  <si>
    <t xml:space="preserve">longitude</t>
  </si>
  <si>
    <t xml:space="preserve">store_type</t>
  </si>
  <si>
    <t xml:space="preserve">is_hq</t>
  </si>
  <si>
    <t xml:space="preserve">phone</t>
  </si>
  <si>
    <t xml:space="preserve">whatsapp</t>
  </si>
  <si>
    <t xml:space="preserve">email</t>
  </si>
  <si>
    <t xml:space="preserve">opening_hours</t>
  </si>
  <si>
    <t xml:space="preserve">manager</t>
  </si>
  <si>
    <t xml:space="preserve">delivery_radius_km</t>
  </si>
  <si>
    <t xml:space="preserve">delivery_base_fee_tzs</t>
  </si>
  <si>
    <t xml:space="preserve">delivery_fee_per_km_tzs</t>
  </si>
  <si>
    <t xml:space="preserve">cold_chain_capable</t>
  </si>
  <si>
    <t xml:space="preserve">pickup_available</t>
  </si>
  <si>
    <t xml:space="preserve">vet_advice_on_site</t>
  </si>
  <si>
    <t xml:space="preserve">bio_en</t>
  </si>
  <si>
    <t xml:space="preserve">bio_sw</t>
  </si>
  <si>
    <t xml:space="preserve">km_to_hq_straight_line</t>
  </si>
  <si>
    <t xml:space="preserve">TEG</t>
  </si>
  <si>
    <t xml:space="preserve">Amsterdam Group - Tegeta (HQ &amp; Warehouse)</t>
  </si>
  <si>
    <t xml:space="preserve">Kinondoni</t>
  </si>
  <si>
    <t xml:space="preserve">Tegeta / Wazo</t>
  </si>
  <si>
    <t xml:space="preserve">Bagamoyo Road, Tegeta-Wazo (demo address)</t>
  </si>
  <si>
    <t xml:space="preserve">Near Tegeta bus stand (demo)</t>
  </si>
  <si>
    <t xml:space="preserve">Flagship + central warehouse</t>
  </si>
  <si>
    <t xml:space="preserve">tegeta.amsterdam@example.com</t>
  </si>
  <si>
    <t xml:space="preserve">Mon-Sat 07:30-18:30; Sun 09:00-14:00</t>
  </si>
  <si>
    <t xml:space="preserve">Neema Mushi (demo)</t>
  </si>
  <si>
    <t xml:space="preserve">Amsterdam Group's head office and main warehouse in Tegeta-Wazo, serving poultry and pig farmers across northern Dar es Salaam and Bagamoyo. Full range of feeds, concentrates, supplements, animal health products and equipment, with same-day delivery within 30 km and a livestock officer on site for advice.</t>
  </si>
  <si>
    <t xml:space="preserve">Ofisi kuu na ghala kuu la Amsterdam Group lililopo Tegeta-Wazo, likiwahudumia wafugaji wa kuku na nguruwe wa kaskazini mwa Dar es Salaam na Bagamoyo. Tuna vyakula, kontsentreti, virutubisho, dawa na vifaa vya mifugo, pamoja na usafirishaji wa siku hiyo hiyo ndani ya kilomita 30 na afisa mifugo wa kukushauri.</t>
  </si>
  <si>
    <t xml:space="preserve">ST-AMS-PST</t>
  </si>
  <si>
    <t xml:space="preserve">PST</t>
  </si>
  <si>
    <t xml:space="preserve">Amsterdam Group - Posta (City Centre)</t>
  </si>
  <si>
    <t xml:space="preserve">Ilala</t>
  </si>
  <si>
    <t xml:space="preserve">Posta / Kisutu</t>
  </si>
  <si>
    <t xml:space="preserve">Azikiwe Street, Posta (demo address)</t>
  </si>
  <si>
    <t xml:space="preserve">Near Posta Mpya (demo)</t>
  </si>
  <si>
    <t xml:space="preserve">City-centre outlet (small format)</t>
  </si>
  <si>
    <t xml:space="preserve">+255 700 000 102</t>
  </si>
  <si>
    <t xml:space="preserve">posta.amsterdam@example.com</t>
  </si>
  <si>
    <t xml:space="preserve">Mon-Fri 08:00-17:30; Sat 08:30-14:00; Sun closed</t>
  </si>
  <si>
    <t xml:space="preserve">Juma Said (demo)</t>
  </si>
  <si>
    <t xml:space="preserve">Compact city-centre outlet in Posta for vaccines, medicines, vitamins and small equipment. Vaccines are kept in a monitored 2-8 C fridge. Bulk feed ordered here is delivered from the Tegeta warehouse.</t>
  </si>
  <si>
    <t xml:space="preserve">Duka dogo katikati ya jiji, Posta, kwa chanjo, dawa, vitamini na vifaa vidogo. Chanjo huhifadhiwa kwenye friji ya nyuzi joto 2-8 inayofuatiliwa. Vyakula vya jumla vinavyoagizwa hapa husafirishwa kutoka ghala la Tegeta.</t>
  </si>
  <si>
    <t xml:space="preserve">ST-AMS-MOR</t>
  </si>
  <si>
    <t xml:space="preserve">MOR</t>
  </si>
  <si>
    <t xml:space="preserve">Amsterdam Group - Morogoro</t>
  </si>
  <si>
    <t xml:space="preserve">Morogoro Municipal</t>
  </si>
  <si>
    <t xml:space="preserve">Mji Mkuu / Main Market</t>
  </si>
  <si>
    <t xml:space="preserve">Boma Road, Morogoro (demo address)</t>
  </si>
  <si>
    <t xml:space="preserve">Near Morogoro central market (demo)</t>
  </si>
  <si>
    <t xml:space="preserve">Regional branch</t>
  </si>
  <si>
    <t xml:space="preserve">+255 700 000 103</t>
  </si>
  <si>
    <t xml:space="preserve">morogoro.amsterdam@example.com</t>
  </si>
  <si>
    <t xml:space="preserve">Mon-Sat 07:30-18:00; Sun closed</t>
  </si>
  <si>
    <t xml:space="preserve">Rehema Mlay (demo)</t>
  </si>
  <si>
    <t xml:space="preserve">Branch on the Dar-Dodoma corridor serving poultry, pig and dairy farmers in Morogoro Municipality, Mvomero and Kilosa. Stocks feeds, raw materials, supplements, vaccines and animal health products, with delivery within 25 km.</t>
  </si>
  <si>
    <t xml:space="preserve">Tawi lililopo kwenye barabara ya Dar-Dodoma, likiwahudumia wafugaji wa kuku, nguruwe na ng'ombe wa maziwa wa Manispaa ya Morogoro, Mvomero na Kilosa. Tuna vyakula, malighafi, virutubisho, chanjo na dawa za mifugo, pamoja na usafirishaji ndani ya kilomita 25.</t>
  </si>
  <si>
    <t xml:space="preserve">ST-AMS-MBY</t>
  </si>
  <si>
    <t xml:space="preserve">MBY</t>
  </si>
  <si>
    <t xml:space="preserve">Amsterdam Group - Mbeya</t>
  </si>
  <si>
    <t xml:space="preserve">Mbeya City</t>
  </si>
  <si>
    <t xml:space="preserve">Mwanjelwa</t>
  </si>
  <si>
    <t xml:space="preserve">Tanzam Highway, Mwanjelwa (demo address)</t>
  </si>
  <si>
    <t xml:space="preserve">Near Mwanjelwa market (demo)</t>
  </si>
  <si>
    <t xml:space="preserve">+255 700 000 104</t>
  </si>
  <si>
    <t xml:space="preserve">mbeya.amsterdam@example.com</t>
  </si>
  <si>
    <t xml:space="preserve">Mon-Sat 08:00-18:00; Sun closed</t>
  </si>
  <si>
    <t xml:space="preserve">Baraka Mwakyusa (demo)</t>
  </si>
  <si>
    <t xml:space="preserve">Southern Highlands branch serving pig and dairy farmers in Mbeya City, Mbalizi and Rungwe, plus a growing broiler market. Strong on pig concentrates, locally sourced raw materials such as maize bran and sunflower cake, and cattle health products.</t>
  </si>
  <si>
    <t xml:space="preserve">Tawi la Nyanda za Juu Kusini linalowahudumia wafugaji wa nguruwe na ng'ombe wa maziwa wa Jiji la Mbeya, Mbalizi na Rungwe, pamoja na wafugaji wa kuku wa nyama. Tuna kontsentreti za nguruwe, malighafi za ndani kama pumba na mashudu ya alizeti, na dawa za ng'ombe.</t>
  </si>
  <si>
    <t xml:space="preserve">ST-AMS-ARU</t>
  </si>
  <si>
    <t xml:space="preserve">ARU</t>
  </si>
  <si>
    <t xml:space="preserve">Amsterdam Group - Arusha</t>
  </si>
  <si>
    <t xml:space="preserve">Arusha City</t>
  </si>
  <si>
    <t xml:space="preserve">Kilombero / Sokoine Road</t>
  </si>
  <si>
    <t xml:space="preserve">Sokoine Road, Arusha (demo address)</t>
  </si>
  <si>
    <t xml:space="preserve">Near Kilombero market (demo)</t>
  </si>
  <si>
    <t xml:space="preserve">+255 700 000 105</t>
  </si>
  <si>
    <t xml:space="preserve">arusha.amsterdam@example.com</t>
  </si>
  <si>
    <t xml:space="preserve">Mon-Sat 07:30-18:00; Sun 09:00-13:00</t>
  </si>
  <si>
    <t xml:space="preserve">Lightness Laizer (demo)</t>
  </si>
  <si>
    <t xml:space="preserve">Northern zone branch serving layer and dairy farmers in Arusha City, Arumeru and along the Moshi road. Wide range of layer feeds, dairy meal, mineral licks, tick control and cold-stored vaccines, plus dairy semen for AI technicians.</t>
  </si>
  <si>
    <t xml:space="preserve">Tawi la Kanda ya Kaskazini linalowahudumia wafugaji wa kuku wa mayai na ng'ombe wa maziwa wa Jiji la Arusha, Arumeru na barabara ya Moshi. Tuna vyakula vya kuku wa mayai, chakula cha ng'ombe wa maziwa, mawe ya madini, dawa za kupe, chanjo zilizohifadhiwa kwenye ubaridi na mbegu za uhimilishaji.</t>
  </si>
  <si>
    <t xml:space="preserve">ST-AMS-MWZ</t>
  </si>
  <si>
    <t xml:space="preserve">MWZ</t>
  </si>
  <si>
    <t xml:space="preserve">Amsterdam Group - Mwanza</t>
  </si>
  <si>
    <t xml:space="preserve">Ilemela</t>
  </si>
  <si>
    <t xml:space="preserve">Kirumba</t>
  </si>
  <si>
    <t xml:space="preserve">Kenyatta Road, Kirumba (demo address)</t>
  </si>
  <si>
    <t xml:space="preserve">Near Kirumba market (demo)</t>
  </si>
  <si>
    <t xml:space="preserve">+255 700 000 106</t>
  </si>
  <si>
    <t xml:space="preserve">mwanza.amsterdam@example.com</t>
  </si>
  <si>
    <t xml:space="preserve">Paulo Masanja (demo)</t>
  </si>
  <si>
    <t xml:space="preserve">Lake Zone branch serving fish farmers around Lake Victoria as well as poultry and cattle keepers in Ilemela, Nyamagana and Misungwi. Stocks floating fish feeds and fingerlings, poultry feeds and cattle health products.</t>
  </si>
  <si>
    <t xml:space="preserve">Tawi la Kanda ya Ziwa linalowahudumia wafugaji wa samaki wa Ziwa Victoria pamoja na wafugaji wa kuku na ng'ombe wa Ilemela, Nyamagana na Misungwi. Tuna vyakula vya samaki vinavyoelea, vifaranga vya samaki, vyakula vya kuku na dawa za ng'ombe.</t>
  </si>
  <si>
    <t xml:space="preserve">product_id</t>
  </si>
  <si>
    <t xml:space="preserve">product_name</t>
  </si>
  <si>
    <t xml:space="preserve">brand_name</t>
  </si>
  <si>
    <t xml:space="preserve">top_category_id</t>
  </si>
  <si>
    <t xml:space="preserve">category_path</t>
  </si>
  <si>
    <t xml:space="preserve">country_of_origin</t>
  </si>
  <si>
    <t xml:space="preserve">description_en</t>
  </si>
  <si>
    <t xml:space="preserve">variant_count</t>
  </si>
  <si>
    <t xml:space="preserve">is_demo_data</t>
  </si>
  <si>
    <t xml:space="preserve">P001</t>
  </si>
  <si>
    <t xml:space="preserve">Broiler Starter Crumbs</t>
  </si>
  <si>
    <t xml:space="preserve">Feed &gt; Complete feed</t>
  </si>
  <si>
    <t xml:space="preserve">early_growth|weight_gain</t>
  </si>
  <si>
    <t xml:space="preserve">Cool, dry place below 30 C, off the floor</t>
  </si>
  <si>
    <t xml:space="preserve">DEMO-FEE-0001</t>
  </si>
  <si>
    <t xml:space="preserve">chakula cha vifaranga|starter|broila|kuku wa nyama</t>
  </si>
  <si>
    <t xml:space="preserve">Starter crumbs for broiler chicks from day 1 to about day 14.</t>
  </si>
  <si>
    <t xml:space="preserve">P002</t>
  </si>
  <si>
    <t xml:space="preserve">Broiler Grower Pellets</t>
  </si>
  <si>
    <t xml:space="preserve">DEMO-FEE-0002</t>
  </si>
  <si>
    <t xml:space="preserve">grower|broila|kuku wa nyama</t>
  </si>
  <si>
    <t xml:space="preserve">Grower pellets for broilers from about day 15 to day 28.</t>
  </si>
  <si>
    <t xml:space="preserve">P003</t>
  </si>
  <si>
    <t xml:space="preserve">Broiler Finisher Pellets</t>
  </si>
  <si>
    <t xml:space="preserve">DEMO-FEE-0003</t>
  </si>
  <si>
    <t xml:space="preserve">finisher|broila|kunenepesha</t>
  </si>
  <si>
    <t xml:space="preserve">Finisher pellets for broilers from day 29 to market.</t>
  </si>
  <si>
    <t xml:space="preserve">P004</t>
  </si>
  <si>
    <t xml:space="preserve">Chick &amp; Duck Mash</t>
  </si>
  <si>
    <t xml:space="preserve">AN-CHK|AN-OPO</t>
  </si>
  <si>
    <t xml:space="preserve">layer|improved_indigenous</t>
  </si>
  <si>
    <t xml:space="preserve">DEMO-FEE-0004</t>
  </si>
  <si>
    <t xml:space="preserve">chakula cha vifaranga|vifaranga wa mayai|bata</t>
  </si>
  <si>
    <t xml:space="preserve">Starter mash for layer and improved-indigenous chicks and ducklings, 0-8 weeks.</t>
  </si>
  <si>
    <t xml:space="preserve">P005</t>
  </si>
  <si>
    <t xml:space="preserve">Growers Mash</t>
  </si>
  <si>
    <t xml:space="preserve">DEMO-FEE-0005</t>
  </si>
  <si>
    <t xml:space="preserve">grower|leya|kuku wa mayai</t>
  </si>
  <si>
    <t xml:space="preserve">Grower mash for layer pullets from 9 to 18 weeks.</t>
  </si>
  <si>
    <t xml:space="preserve">P006</t>
  </si>
  <si>
    <t xml:space="preserve">Layers Mash</t>
  </si>
  <si>
    <t xml:space="preserve">DEMO-FEE-0006</t>
  </si>
  <si>
    <t xml:space="preserve">layers|leya|kuku wa mayai|kuongeza mayai</t>
  </si>
  <si>
    <t xml:space="preserve">Complete layer ration from point of lay.</t>
  </si>
  <si>
    <t xml:space="preserve">P007</t>
  </si>
  <si>
    <t xml:space="preserve">Kienyeji Grower Mash</t>
  </si>
  <si>
    <t xml:space="preserve">DEMO-FEE-0007</t>
  </si>
  <si>
    <t xml:space="preserve">kuku wa kienyeji|chotara|sasso|kuroiler</t>
  </si>
  <si>
    <t xml:space="preserve">Grower mash for Sasso, Kuroiler and other improved indigenous chickens.</t>
  </si>
  <si>
    <t xml:space="preserve">P008</t>
  </si>
  <si>
    <t xml:space="preserve">Pig Creep Pellets</t>
  </si>
  <si>
    <t xml:space="preserve">LS-PIG-CRP|LS-PIG-WEA</t>
  </si>
  <si>
    <t xml:space="preserve">DEMO-FEE-0008</t>
  </si>
  <si>
    <t xml:space="preserve">nguruwe|watoto wa nguruwe|creep</t>
  </si>
  <si>
    <t xml:space="preserve">Highly digestible pellets for piglets from 7 days to 2 weeks after weaning.</t>
  </si>
  <si>
    <t xml:space="preserve">P009</t>
  </si>
  <si>
    <t xml:space="preserve">Pig Grower Pellets</t>
  </si>
  <si>
    <t xml:space="preserve">DEMO-FEE-0009</t>
  </si>
  <si>
    <t xml:space="preserve">nguruwe|grower</t>
  </si>
  <si>
    <t xml:space="preserve">Complete grower ration for pigs from about 25 to 60 kg live weight.</t>
  </si>
  <si>
    <t xml:space="preserve">P010</t>
  </si>
  <si>
    <t xml:space="preserve">Sow &amp; Weaner Meal</t>
  </si>
  <si>
    <t xml:space="preserve">LS-PIG-SOW|LS-PIG-WEA</t>
  </si>
  <si>
    <t xml:space="preserve">DEMO-FEE-0010</t>
  </si>
  <si>
    <t xml:space="preserve">nguruwe|mama nguruwe|sow</t>
  </si>
  <si>
    <t xml:space="preserve">Meal for gestating and lactating sows and newly weaned pigs.</t>
  </si>
  <si>
    <t xml:space="preserve">P011</t>
  </si>
  <si>
    <t xml:space="preserve">Dairy Meal</t>
  </si>
  <si>
    <t xml:space="preserve">DEMO-FEE-0011</t>
  </si>
  <si>
    <t xml:space="preserve">ng'ombe wa maziwa|dairy meal|maziwa mengi</t>
  </si>
  <si>
    <t xml:space="preserve">Production ration for lactating dairy cows, fed alongside forage.</t>
  </si>
  <si>
    <t xml:space="preserve">P012</t>
  </si>
  <si>
    <t xml:space="preserve">Calf Starter Pellets</t>
  </si>
  <si>
    <t xml:space="preserve">AN-DCT|AN-BCT</t>
  </si>
  <si>
    <t xml:space="preserve">dairy|beef</t>
  </si>
  <si>
    <t xml:space="preserve">DEMO-FEE-0012</t>
  </si>
  <si>
    <t xml:space="preserve">ndama|calf</t>
  </si>
  <si>
    <t xml:space="preserve">Starter pellets for calves from 1 week until weaning.</t>
  </si>
  <si>
    <t xml:space="preserve">P013</t>
  </si>
  <si>
    <t xml:space="preserve">Goat &amp; Sheep Meal</t>
  </si>
  <si>
    <t xml:space="preserve">AN-GOT|AN-SHP</t>
  </si>
  <si>
    <t xml:space="preserve">LS-GTS-GRW|LS-GTS-BRD</t>
  </si>
  <si>
    <t xml:space="preserve">DEMO-FEE-0013</t>
  </si>
  <si>
    <t xml:space="preserve">mbuzi|kondoo</t>
  </si>
  <si>
    <t xml:space="preserve">Supplementary meal for growing and breeding goats and sheep.</t>
  </si>
  <si>
    <t xml:space="preserve">P014</t>
  </si>
  <si>
    <t xml:space="preserve">Tilapia Floating Feed 2 mm</t>
  </si>
  <si>
    <t xml:space="preserve">DEMO-FEE-0014</t>
  </si>
  <si>
    <t xml:space="preserve">sato|chakula cha samaki|floating</t>
  </si>
  <si>
    <t xml:space="preserve">Floating feed for tilapia fingerlings, 2 mm pellet.</t>
  </si>
  <si>
    <t xml:space="preserve">P015</t>
  </si>
  <si>
    <t xml:space="preserve">Tilapia Floating Feed 4 mm</t>
  </si>
  <si>
    <t xml:space="preserve">DEMO-FEE-0015</t>
  </si>
  <si>
    <t xml:space="preserve">Floating grow-out feed for tilapia, 4 mm pellet.</t>
  </si>
  <si>
    <t xml:space="preserve">P016</t>
  </si>
  <si>
    <t xml:space="preserve">Catfish Floating Feed</t>
  </si>
  <si>
    <t xml:space="preserve">DEMO-FEE-0016</t>
  </si>
  <si>
    <t xml:space="preserve">kambale|chakula cha samaki</t>
  </si>
  <si>
    <t xml:space="preserve">High-protein floating feed for catfish grow-out.</t>
  </si>
  <si>
    <t xml:space="preserve">P017</t>
  </si>
  <si>
    <t xml:space="preserve">Rabbit Pellets</t>
  </si>
  <si>
    <t xml:space="preserve">DEMO-FEE-0017</t>
  </si>
  <si>
    <t xml:space="preserve">Complete pellets for growing and breeding rabbits.</t>
  </si>
  <si>
    <t xml:space="preserve">P018</t>
  </si>
  <si>
    <t xml:space="preserve">Pig Protein Concentrate 20%</t>
  </si>
  <si>
    <t xml:space="preserve">Feed &gt; Concentrates</t>
  </si>
  <si>
    <t xml:space="preserve">LS-PIG-GRW|LS-PIG-FIN</t>
  </si>
  <si>
    <t xml:space="preserve">weight_gain|feed_mixing</t>
  </si>
  <si>
    <t xml:space="preserve">Protein, vitamins, minerals, amino acids, probiotics, enzymes, toxin binder and acidifier (per bag label)</t>
  </si>
  <si>
    <t xml:space="preserve">Mix with maize bran/maize as per bag label</t>
  </si>
  <si>
    <t xml:space="preserve">DEMO-FEE-0018</t>
  </si>
  <si>
    <t xml:space="preserve">nguruwe|kontsentreti|concentrate|amsterdam feed</t>
  </si>
  <si>
    <t xml:space="preserve">Amsterdam Feed high-performance pig protein concentrate. CHECK: the '20%' on the bag may be crude protein or inclusion rate; confirm with Amsterdam before publishing.</t>
  </si>
  <si>
    <t xml:space="preserve">P019</t>
  </si>
  <si>
    <t xml:space="preserve">Broiler Concentrate 30%</t>
  </si>
  <si>
    <t xml:space="preserve">LS-POU-STR|LS-POU-GRW|LS-POU-FIN</t>
  </si>
  <si>
    <t xml:space="preserve">feed_mixing|weight_gain</t>
  </si>
  <si>
    <t xml:space="preserve">Mix with maize/maize bran as per bag label</t>
  </si>
  <si>
    <t xml:space="preserve">DEMO-FEE-0019</t>
  </si>
  <si>
    <t xml:space="preserve">kontsentreti|broila|kuchanganya chakula</t>
  </si>
  <si>
    <t xml:space="preserve">Protein concentrate for farmers mixing their own broiler feed.</t>
  </si>
  <si>
    <t xml:space="preserve">P020</t>
  </si>
  <si>
    <t xml:space="preserve">Layers Concentrate</t>
  </si>
  <si>
    <t xml:space="preserve">feed_mixing|egg_production</t>
  </si>
  <si>
    <t xml:space="preserve">DEMO-FEE-0020</t>
  </si>
  <si>
    <t xml:space="preserve">kontsentreti|leya|kuku wa mayai</t>
  </si>
  <si>
    <t xml:space="preserve">Concentrate for home-mixed layer rations.</t>
  </si>
  <si>
    <t xml:space="preserve">P021</t>
  </si>
  <si>
    <t xml:space="preserve">Dairy Concentrate</t>
  </si>
  <si>
    <t xml:space="preserve">feed_mixing|milk_yield</t>
  </si>
  <si>
    <t xml:space="preserve">Mix with maize bran as per bag label</t>
  </si>
  <si>
    <t xml:space="preserve">DEMO-FEE-0021</t>
  </si>
  <si>
    <t xml:space="preserve">kontsentreti|ng'ombe wa maziwa</t>
  </si>
  <si>
    <t xml:space="preserve">Concentrate for dairy farmers mixing with maize bran or cereal by-products.</t>
  </si>
  <si>
    <t xml:space="preserve">P022</t>
  </si>
  <si>
    <t xml:space="preserve">Broiler Premix 2.5%</t>
  </si>
  <si>
    <t xml:space="preserve">Feed &gt; Premixes &amp; base mixes</t>
  </si>
  <si>
    <t xml:space="preserve">Vitamins, trace minerals, amino acids</t>
  </si>
  <si>
    <t xml:space="preserve">2.5 kg per 100 kg of feed (per label)</t>
  </si>
  <si>
    <t xml:space="preserve">DEMO-FEE-0022</t>
  </si>
  <si>
    <t xml:space="preserve">premiksi|premix|kuchanganya chakula</t>
  </si>
  <si>
    <t xml:space="preserve">Vitamin-mineral premix for on-farm feed mixing.</t>
  </si>
  <si>
    <t xml:space="preserve">P023</t>
  </si>
  <si>
    <t xml:space="preserve">Layer Premix 2.5%</t>
  </si>
  <si>
    <t xml:space="preserve">DEMO-FEE-0023</t>
  </si>
  <si>
    <t xml:space="preserve">P024</t>
  </si>
  <si>
    <t xml:space="preserve">Pig Premix 2.5%</t>
  </si>
  <si>
    <t xml:space="preserve">LS-PIG-GRW|LS-PIG-FIN|LS-PIG-SOW</t>
  </si>
  <si>
    <t xml:space="preserve">DEMO-FEE-0024</t>
  </si>
  <si>
    <t xml:space="preserve">P025</t>
  </si>
  <si>
    <t xml:space="preserve">Maize Bran</t>
  </si>
  <si>
    <t xml:space="preserve">Feed &gt; Raw materials &amp; ingredients</t>
  </si>
  <si>
    <t xml:space="preserve">AN-CHK|AN-PIG|AN-DCT|AN-GTS</t>
  </si>
  <si>
    <t xml:space="preserve">DEMO-FEE-0025</t>
  </si>
  <si>
    <t xml:space="preserve">pumba|pumba za mahindi|maize bran</t>
  </si>
  <si>
    <t xml:space="preserve">Maize bran for on-farm feed mixing.</t>
  </si>
  <si>
    <t xml:space="preserve">P026</t>
  </si>
  <si>
    <t xml:space="preserve">Sunflower Seed Cake</t>
  </si>
  <si>
    <t xml:space="preserve">DEMO-FEE-0026</t>
  </si>
  <si>
    <t xml:space="preserve">mashudu|mashudu ya alizeti|sunflower cake</t>
  </si>
  <si>
    <t xml:space="preserve">Sunflower cake protein source.</t>
  </si>
  <si>
    <t xml:space="preserve">P027</t>
  </si>
  <si>
    <t xml:space="preserve">Soybean Meal</t>
  </si>
  <si>
    <t xml:space="preserve">AN-CHK|AN-PIG|AN-DCT</t>
  </si>
  <si>
    <t xml:space="preserve">DEMO-FEE-0027</t>
  </si>
  <si>
    <t xml:space="preserve">soya|soybean meal</t>
  </si>
  <si>
    <t xml:space="preserve">Solvent-extracted soybean meal.</t>
  </si>
  <si>
    <t xml:space="preserve">P028</t>
  </si>
  <si>
    <t xml:space="preserve">Fish Meal (Dagaa)</t>
  </si>
  <si>
    <t xml:space="preserve">AN-CHK|AN-PIG|AN-FSH</t>
  </si>
  <si>
    <t xml:space="preserve">DEMO-FEE-0028</t>
  </si>
  <si>
    <t xml:space="preserve">dagaa|fish meal|unga wa samaki</t>
  </si>
  <si>
    <t xml:space="preserve">Ground dagaa (Lake Victoria sardine) protein meal.</t>
  </si>
  <si>
    <t xml:space="preserve">P029</t>
  </si>
  <si>
    <t xml:space="preserve">Feed Limestone</t>
  </si>
  <si>
    <t xml:space="preserve">AN-CHK|AN-DCT</t>
  </si>
  <si>
    <t xml:space="preserve">DEMO-FEE-0029</t>
  </si>
  <si>
    <t xml:space="preserve">chokaa|limestone|shell grit</t>
  </si>
  <si>
    <t xml:space="preserve">Calcium source for layer and dairy rations.</t>
  </si>
  <si>
    <t xml:space="preserve">P030</t>
  </si>
  <si>
    <t xml:space="preserve">Dicalcium Phosphate (DCP)</t>
  </si>
  <si>
    <t xml:space="preserve">DEMO-FEE-0030</t>
  </si>
  <si>
    <t xml:space="preserve">Imported</t>
  </si>
  <si>
    <t xml:space="preserve">dcp|phosphate</t>
  </si>
  <si>
    <t xml:space="preserve">Phosphorus and calcium source for feed mixing.</t>
  </si>
  <si>
    <t xml:space="preserve">P031</t>
  </si>
  <si>
    <t xml:space="preserve">Yellow Maize (Whole)</t>
  </si>
  <si>
    <t xml:space="preserve">DEMO-FEE-0031</t>
  </si>
  <si>
    <t xml:space="preserve">mahindi|maize</t>
  </si>
  <si>
    <t xml:space="preserve">Whole maize grain for milling into feed.</t>
  </si>
  <si>
    <t xml:space="preserve">P032</t>
  </si>
  <si>
    <t xml:space="preserve">Rhodes Grass Hay Bale</t>
  </si>
  <si>
    <t xml:space="preserve">Feed &gt; Forage &amp; fodder</t>
  </si>
  <si>
    <t xml:space="preserve">AN-DCT|AN-BCT|AN-GTS</t>
  </si>
  <si>
    <t xml:space="preserve">Dry, covered store</t>
  </si>
  <si>
    <t xml:space="preserve">DEMO-FEE-0032</t>
  </si>
  <si>
    <t xml:space="preserve">majani makavu|hay|nyasi</t>
  </si>
  <si>
    <t xml:space="preserve">Square bale of Rhodes grass hay, about 15 kg.</t>
  </si>
  <si>
    <t xml:space="preserve">P033</t>
  </si>
  <si>
    <t xml:space="preserve">Maize Silage (Bagged)</t>
  </si>
  <si>
    <t xml:space="preserve">Keep sealed, use within 3 days of opening</t>
  </si>
  <si>
    <t xml:space="preserve">DEMO-FEE-0033</t>
  </si>
  <si>
    <t xml:space="preserve">silage|malisho</t>
  </si>
  <si>
    <t xml:space="preserve">Vacuum-bagged maize silage.</t>
  </si>
  <si>
    <t xml:space="preserve">P034</t>
  </si>
  <si>
    <t xml:space="preserve">Vitamix Chick</t>
  </si>
  <si>
    <t xml:space="preserve">Supplements &amp; additives &gt; Vitamins &amp; multivitamins</t>
  </si>
  <si>
    <t xml:space="preserve">broiler|layer|improved_indigenous</t>
  </si>
  <si>
    <t xml:space="preserve">early_growth|immunity|stress_vaccination_transport</t>
  </si>
  <si>
    <t xml:space="preserve">Vitamins, glucose, amino acids, probiotics and trace elements (per label)</t>
  </si>
  <si>
    <t xml:space="preserve">As per sachet label</t>
  </si>
  <si>
    <t xml:space="preserve">DEMO-FEE-0034</t>
  </si>
  <si>
    <t xml:space="preserve">China (contract manufactured)</t>
  </si>
  <si>
    <t xml:space="preserve">vitamini|vitamini ya vifaranga|vitamix</t>
  </si>
  <si>
    <t xml:space="preserve">Water-soluble chick starter premix with vitamins, probiotics and glucose for strong early growth.</t>
  </si>
  <si>
    <t xml:space="preserve">P035</t>
  </si>
  <si>
    <t xml:space="preserve">Vitamix Plus</t>
  </si>
  <si>
    <t xml:space="preserve">weight_gain|egg_production|immunity</t>
  </si>
  <si>
    <t xml:space="preserve">Vitamins A, D3, E, C, B-complex, K, niacin, calcium pantothenate, amino acids, probiotics, trace elements (per label)</t>
  </si>
  <si>
    <t xml:space="preserve">DEMO-FEE-0035</t>
  </si>
  <si>
    <t xml:space="preserve">vitamini|multivitamin|vitamix|kuongeza mayai</t>
  </si>
  <si>
    <t xml:space="preserve">Feed-grade vitamin supplement with amino acids and trace elements for performance.</t>
  </si>
  <si>
    <t xml:space="preserve">P036</t>
  </si>
  <si>
    <t xml:space="preserve">Multivitamin Soluble Powder</t>
  </si>
  <si>
    <t xml:space="preserve">AN-POU|AN-PIG|AN-CAT</t>
  </si>
  <si>
    <t xml:space="preserve">immunity|stress_vaccination_transport</t>
  </si>
  <si>
    <t xml:space="preserve">Vitamins A, D3, E, K3, B-complex, C</t>
  </si>
  <si>
    <t xml:space="preserve">As per label</t>
  </si>
  <si>
    <t xml:space="preserve">DEMO-FEE-0036</t>
  </si>
  <si>
    <t xml:space="preserve">vitamini|multivitamin</t>
  </si>
  <si>
    <t xml:space="preserve">Multi-species water-soluble multivitamin.</t>
  </si>
  <si>
    <t xml:space="preserve">P037</t>
  </si>
  <si>
    <t xml:space="preserve">Vitamin AD3E Injectable</t>
  </si>
  <si>
    <t xml:space="preserve">AN-CAT|AN-GTS|AN-PIG</t>
  </si>
  <si>
    <t xml:space="preserve">Vitamin A, D3, E</t>
  </si>
  <si>
    <t xml:space="preserve">DEMO-OTC-0037</t>
  </si>
  <si>
    <t xml:space="preserve">vitamini|sindano ya vitamini|ad3e</t>
  </si>
  <si>
    <t xml:space="preserve">Injectable fat-soluble vitamins. Category = Vitamins by function; regulatory class = vet medicine.</t>
  </si>
  <si>
    <t xml:space="preserve">P038</t>
  </si>
  <si>
    <t xml:space="preserve">Layer Tonic (Egg Booster)</t>
  </si>
  <si>
    <t xml:space="preserve">Supplements &amp; additives &gt; Amino acids &amp; tonics</t>
  </si>
  <si>
    <t xml:space="preserve">Vitamins, calcium, phosphorus, amino acids</t>
  </si>
  <si>
    <t xml:space="preserve">DEMO-FEE-0038</t>
  </si>
  <si>
    <t xml:space="preserve">kuongeza mayai|tonic|leya</t>
  </si>
  <si>
    <t xml:space="preserve">Liquid tonic supporting egg production and shell quality.</t>
  </si>
  <si>
    <t xml:space="preserve">P039</t>
  </si>
  <si>
    <t xml:space="preserve">Clear Heat Electrolyte</t>
  </si>
  <si>
    <t xml:space="preserve">Supplements &amp; additives &gt; Electrolytes &amp; heat-stress</t>
  </si>
  <si>
    <t xml:space="preserve">heat_stress|dehydration|stress_vaccination_transport</t>
  </si>
  <si>
    <t xml:space="preserve">Sodium, potassium and magnesium salts, sodium bicarbonate, vitamin C (per label)</t>
  </si>
  <si>
    <t xml:space="preserve">DEMO-FEE-0039</t>
  </si>
  <si>
    <t xml:space="preserve">joto|joto kali|elektrolaiti|electrolyte|clear heat|kupunguza joto</t>
  </si>
  <si>
    <t xml:space="preserve">Electrolyte supplement against heat stress, dehydration and fluid imbalance in poultry.</t>
  </si>
  <si>
    <t xml:space="preserve">P040</t>
  </si>
  <si>
    <t xml:space="preserve">Livestock Oral Rehydration Salts</t>
  </si>
  <si>
    <t xml:space="preserve">AN-CAT|AN-PIG|AN-GTS</t>
  </si>
  <si>
    <t xml:space="preserve">LS-CAT-CLF|LS-PIG-CRP|LS-GTS-KID</t>
  </si>
  <si>
    <t xml:space="preserve">dehydration|diarrhoea</t>
  </si>
  <si>
    <t xml:space="preserve">Glucose, sodium chloride, potassium chloride, bicarbonate</t>
  </si>
  <si>
    <t xml:space="preserve">DEMO-FEE-0040</t>
  </si>
  <si>
    <t xml:space="preserve">kuhara|upungufu wa maji|ors</t>
  </si>
  <si>
    <t xml:space="preserve">Rehydration salts for scouring calves, piglets and kids.</t>
  </si>
  <si>
    <t xml:space="preserve">P041</t>
  </si>
  <si>
    <t xml:space="preserve">Goat &amp; Sheep Mineral Lick</t>
  </si>
  <si>
    <t xml:space="preserve">Supplements &amp; additives &gt; Minerals &amp; licks</t>
  </si>
  <si>
    <t xml:space="preserve">Salt, macro and trace minerals</t>
  </si>
  <si>
    <t xml:space="preserve">DEMO-FEE-0041</t>
  </si>
  <si>
    <t xml:space="preserve">jiwe la chumvi|madini|mbuzi|kondoo</t>
  </si>
  <si>
    <t xml:space="preserve">Mineral lick block for goats and sheep.</t>
  </si>
  <si>
    <t xml:space="preserve">P042</t>
  </si>
  <si>
    <t xml:space="preserve">Cattle Mineral Lick Block</t>
  </si>
  <si>
    <t xml:space="preserve">milk_yield|weight_gain</t>
  </si>
  <si>
    <t xml:space="preserve">DEMO-FEE-0042</t>
  </si>
  <si>
    <t xml:space="preserve">jiwe la chumvi|madini|ng'ombe</t>
  </si>
  <si>
    <t xml:space="preserve">Mineral lick block for cattle.</t>
  </si>
  <si>
    <t xml:space="preserve">P043</t>
  </si>
  <si>
    <t xml:space="preserve">Dairy Mineral Mix</t>
  </si>
  <si>
    <t xml:space="preserve">LS-CAT-LAC|LS-CAT-DRY</t>
  </si>
  <si>
    <t xml:space="preserve">Calcium, phosphorus, magnesium, trace minerals</t>
  </si>
  <si>
    <t xml:space="preserve">DEMO-FEE-0043</t>
  </si>
  <si>
    <t xml:space="preserve">madini|maziwa mengi</t>
  </si>
  <si>
    <t xml:space="preserve">Loose mineral mix for dairy cows.</t>
  </si>
  <si>
    <t xml:space="preserve">P044</t>
  </si>
  <si>
    <t xml:space="preserve">Poultry Probiotic</t>
  </si>
  <si>
    <t xml:space="preserve">Supplements &amp; additives &gt; Probiotics, enzymes &amp; acidifiers</t>
  </si>
  <si>
    <t xml:space="preserve">Lactobacillus and Bacillus strains</t>
  </si>
  <si>
    <t xml:space="preserve">DEMO-FEE-0044</t>
  </si>
  <si>
    <t xml:space="preserve">probiotiki|afya ya tumbo</t>
  </si>
  <si>
    <t xml:space="preserve">Probiotic for gut health.</t>
  </si>
  <si>
    <t xml:space="preserve">P045</t>
  </si>
  <si>
    <t xml:space="preserve">Phytase Feed Enzyme</t>
  </si>
  <si>
    <t xml:space="preserve">AN-POU|AN-PIG</t>
  </si>
  <si>
    <t xml:space="preserve">gut_health|feed_mixing</t>
  </si>
  <si>
    <t xml:space="preserve">Phytase</t>
  </si>
  <si>
    <t xml:space="preserve">DEMO-FEE-0045</t>
  </si>
  <si>
    <t xml:space="preserve">enzyme|kimeng'enya</t>
  </si>
  <si>
    <t xml:space="preserve">Enzyme improving phosphorus use in home-mixed feeds.</t>
  </si>
  <si>
    <t xml:space="preserve">P046</t>
  </si>
  <si>
    <t xml:space="preserve">Mycotoxin Binder</t>
  </si>
  <si>
    <t xml:space="preserve">Supplements &amp; additives &gt; Toxin binders</t>
  </si>
  <si>
    <t xml:space="preserve">Clay minerals, yeast cell wall</t>
  </si>
  <si>
    <t xml:space="preserve">DEMO-FEE-0046</t>
  </si>
  <si>
    <t xml:space="preserve">sumu ya kuvu|aflatoxin|toxin binder</t>
  </si>
  <si>
    <t xml:space="preserve">Binds aflatoxins and other mycotoxins in feed.</t>
  </si>
  <si>
    <t xml:space="preserve">P047</t>
  </si>
  <si>
    <t xml:space="preserve">Liver Tonic &amp; Amino Acids</t>
  </si>
  <si>
    <t xml:space="preserve">stress_vaccination_transport|weight_gain</t>
  </si>
  <si>
    <t xml:space="preserve">Methionine, lysine, sorbitol, choline, vitamins</t>
  </si>
  <si>
    <t xml:space="preserve">DEMO-FEE-0047</t>
  </si>
  <si>
    <t xml:space="preserve">tonic|amino</t>
  </si>
  <si>
    <t xml:space="preserve">Liver support and amino acid supplement after disease or treatment.</t>
  </si>
  <si>
    <t xml:space="preserve">P048</t>
  </si>
  <si>
    <t xml:space="preserve">Oxytetracycline 20% LA Injection</t>
  </si>
  <si>
    <t xml:space="preserve">Medicines &gt; Antibiotics &amp; antibacterials</t>
  </si>
  <si>
    <t xml:space="preserve">bacterial_infection|respiratory</t>
  </si>
  <si>
    <t xml:space="preserve">Oxytetracycline dihydrate 200 mg/ml</t>
  </si>
  <si>
    <t xml:space="preserve">As directed by a veterinarian</t>
  </si>
  <si>
    <t xml:space="preserve">DEMO-PRE-0048</t>
  </si>
  <si>
    <t xml:space="preserve">dawa|oxytet|sindano|antibiotic</t>
  </si>
  <si>
    <t xml:space="preserve">Long-acting broad-spectrum antibiotic injection.</t>
  </si>
  <si>
    <t xml:space="preserve">P049</t>
  </si>
  <si>
    <t xml:space="preserve">Oxytetracycline Soluble Powder</t>
  </si>
  <si>
    <t xml:space="preserve">bacterial_infection|respiratory|diarrhoea</t>
  </si>
  <si>
    <t xml:space="preserve">Oxytetracycline HCl</t>
  </si>
  <si>
    <t xml:space="preserve">DEMO-PRE-0049</t>
  </si>
  <si>
    <t xml:space="preserve">dawa ya kuku|oxytet|mafua|kuhara</t>
  </si>
  <si>
    <t xml:space="preserve">Water-soluble antibiotic for poultry.</t>
  </si>
  <si>
    <t xml:space="preserve">P050</t>
  </si>
  <si>
    <t xml:space="preserve">Tylosin Soluble Powder</t>
  </si>
  <si>
    <t xml:space="preserve">Tylosin tartrate</t>
  </si>
  <si>
    <t xml:space="preserve">DEMO-PRE-0050</t>
  </si>
  <si>
    <t xml:space="preserve">mafua|crd|tylosin</t>
  </si>
  <si>
    <t xml:space="preserve">Antibiotic for chronic respiratory disease in poultry.</t>
  </si>
  <si>
    <t xml:space="preserve">P051</t>
  </si>
  <si>
    <t xml:space="preserve">Penicillin-Streptomycin Injection</t>
  </si>
  <si>
    <t xml:space="preserve">Procaine penicillin + dihydrostreptomycin</t>
  </si>
  <si>
    <t xml:space="preserve">2-8 C, do not freeze, protect from light</t>
  </si>
  <si>
    <t xml:space="preserve">DEMO-PRE-0051</t>
  </si>
  <si>
    <t xml:space="preserve">dawa|sindano|pen strep</t>
  </si>
  <si>
    <t xml:space="preserve">Combination antibiotic injection. Stored refrigerated.</t>
  </si>
  <si>
    <t xml:space="preserve">P052</t>
  </si>
  <si>
    <t xml:space="preserve">Albendazole 10% Oral Suspension</t>
  </si>
  <si>
    <t xml:space="preserve">Medicines &gt; Dewormers</t>
  </si>
  <si>
    <t xml:space="preserve">AN-CAT|AN-GTS</t>
  </si>
  <si>
    <t xml:space="preserve">Albendazole 100 mg/ml</t>
  </si>
  <si>
    <t xml:space="preserve">By body weight, as per label</t>
  </si>
  <si>
    <t xml:space="preserve">DEMO-OTC-0052</t>
  </si>
  <si>
    <t xml:space="preserve">dawa ya minyoo|minyoo|albendazole|dewormer</t>
  </si>
  <si>
    <t xml:space="preserve">Broad-spectrum oral dewormer for cattle, goats and sheep. Not to be used in early pregnancy (per label).</t>
  </si>
  <si>
    <t xml:space="preserve">P053</t>
  </si>
  <si>
    <t xml:space="preserve">Piperazine Soluble Powder</t>
  </si>
  <si>
    <t xml:space="preserve">Piperazine citrate</t>
  </si>
  <si>
    <t xml:space="preserve">DEMO-OTC-0053</t>
  </si>
  <si>
    <t xml:space="preserve">dawa ya minyoo|minyoo ya kuku</t>
  </si>
  <si>
    <t xml:space="preserve">Roundworm treatment for poultry and pigs.</t>
  </si>
  <si>
    <t xml:space="preserve">P054</t>
  </si>
  <si>
    <t xml:space="preserve">Levamisole Oral Drench</t>
  </si>
  <si>
    <t xml:space="preserve">AN-GOT|AN-SHP|AN-CAT</t>
  </si>
  <si>
    <t xml:space="preserve">Levamisole HCl</t>
  </si>
  <si>
    <t xml:space="preserve">DEMO-OTC-0054</t>
  </si>
  <si>
    <t xml:space="preserve">dawa ya minyoo|minyoo</t>
  </si>
  <si>
    <t xml:space="preserve">Oral dewormer for ruminants.</t>
  </si>
  <si>
    <t xml:space="preserve">P055</t>
  </si>
  <si>
    <t xml:space="preserve">Ivermectin 1% Injection</t>
  </si>
  <si>
    <t xml:space="preserve">worms|mites_lice|ticks</t>
  </si>
  <si>
    <t xml:space="preserve">Ivermectin 10 mg/ml</t>
  </si>
  <si>
    <t xml:space="preserve">By body weight, as directed by a veterinarian</t>
  </si>
  <si>
    <t xml:space="preserve">DEMO-PRE-0055</t>
  </si>
  <si>
    <t xml:space="preserve">minyoo|kupe|ivermectin|ivomec</t>
  </si>
  <si>
    <t xml:space="preserve">Endectocide injection for internal and external parasites. Not for lactating dairy animals (per typical labels - verify).</t>
  </si>
  <si>
    <t xml:space="preserve">P056</t>
  </si>
  <si>
    <t xml:space="preserve">Amprolium 20% Soluble Powder</t>
  </si>
  <si>
    <t xml:space="preserve">Medicines &gt; Anticoccidials</t>
  </si>
  <si>
    <t xml:space="preserve">Amprolium HCl 200 mg/g</t>
  </si>
  <si>
    <t xml:space="preserve">DEMO-OTC-0056</t>
  </si>
  <si>
    <t xml:space="preserve">kuhara damu|koksidiosisi|amprolium</t>
  </si>
  <si>
    <t xml:space="preserve">Treatment and control of coccidiosis in poultry.</t>
  </si>
  <si>
    <t xml:space="preserve">P057</t>
  </si>
  <si>
    <t xml:space="preserve">Toltrazuril 2.5% Oral Solution</t>
  </si>
  <si>
    <t xml:space="preserve">Toltrazuril 25 mg/ml</t>
  </si>
  <si>
    <t xml:space="preserve">DEMO-PRE-0057</t>
  </si>
  <si>
    <t xml:space="preserve">kuhara damu|toltrazuril</t>
  </si>
  <si>
    <t xml:space="preserve">Anticoccidial solution for poultry. Not for layers producing eggs for consumption (per typical labels - verify).</t>
  </si>
  <si>
    <t xml:space="preserve">P058</t>
  </si>
  <si>
    <t xml:space="preserve">Amitraz 12.5% Dip Concentrate</t>
  </si>
  <si>
    <t xml:space="preserve">Medicines &gt; External parasite control</t>
  </si>
  <si>
    <t xml:space="preserve">ticks|mites_lice</t>
  </si>
  <si>
    <t xml:space="preserve">Amitraz 12.5% EC</t>
  </si>
  <si>
    <t xml:space="preserve">Dilute as per label</t>
  </si>
  <si>
    <t xml:space="preserve">DEMO-PES-0058</t>
  </si>
  <si>
    <t xml:space="preserve">kupe|dawa ya kuogesha|dipping|ndigana kali</t>
  </si>
  <si>
    <t xml:space="preserve">Acaricide for spraying or dipping cattle, goats and sheep.</t>
  </si>
  <si>
    <t xml:space="preserve">P059</t>
  </si>
  <si>
    <t xml:space="preserve">Cypermethrin Pour-On</t>
  </si>
  <si>
    <t xml:space="preserve">Cypermethrin</t>
  </si>
  <si>
    <t xml:space="preserve">DEMO-PES-0059</t>
  </si>
  <si>
    <t xml:space="preserve">kupe|pour on|nzi</t>
  </si>
  <si>
    <t xml:space="preserve">Pour-on for tick and fly control on cattle.</t>
  </si>
  <si>
    <t xml:space="preserve">P060</t>
  </si>
  <si>
    <t xml:space="preserve">Poultry Mite &amp; Lice Powder</t>
  </si>
  <si>
    <t xml:space="preserve">Permethrin dusting powder</t>
  </si>
  <si>
    <t xml:space="preserve">DEMO-PES-0060</t>
  </si>
  <si>
    <t xml:space="preserve">utitiri|chawa|viroboto</t>
  </si>
  <si>
    <t xml:space="preserve">Dusting powder against mites and lice on birds and in houses.</t>
  </si>
  <si>
    <t xml:space="preserve">P061</t>
  </si>
  <si>
    <t xml:space="preserve">Antiseptic Wound Spray</t>
  </si>
  <si>
    <t xml:space="preserve">Medicines &gt; Wound care &amp; topical</t>
  </si>
  <si>
    <t xml:space="preserve">AN-CAT|AN-GTS|AN-PIG|AN-POU</t>
  </si>
  <si>
    <t xml:space="preserve">Oxytetracycline + gentian violet</t>
  </si>
  <si>
    <t xml:space="preserve">Spray on cleaned wound</t>
  </si>
  <si>
    <t xml:space="preserve">DEMO-OTC-0061</t>
  </si>
  <si>
    <t xml:space="preserve">vidonda|spray|dawa ya vidonda</t>
  </si>
  <si>
    <t xml:space="preserve">Antibiotic wound spray.</t>
  </si>
  <si>
    <t xml:space="preserve">P062</t>
  </si>
  <si>
    <t xml:space="preserve">Calcium Borogluconate Injection</t>
  </si>
  <si>
    <t xml:space="preserve">Medicines &gt; Other medicines</t>
  </si>
  <si>
    <t xml:space="preserve">Calcium borogluconate 40%</t>
  </si>
  <si>
    <t xml:space="preserve">DEMO-PRE-0062</t>
  </si>
  <si>
    <t xml:space="preserve">homa ya maziwa|milk fever|calcium</t>
  </si>
  <si>
    <t xml:space="preserve">For treatment of milk fever (hypocalcaemia) in dairy cows.</t>
  </si>
  <si>
    <t xml:space="preserve">P063</t>
  </si>
  <si>
    <t xml:space="preserve">Newcastle Disease Vaccine (LaSota)</t>
  </si>
  <si>
    <t xml:space="preserve">drinking_water|eye_nasal_drop</t>
  </si>
  <si>
    <t xml:space="preserve">disease_prevention|immunity</t>
  </si>
  <si>
    <t xml:space="preserve">Live NDV LaSota strain</t>
  </si>
  <si>
    <t xml:space="preserve">DEMO-VAC-0063</t>
  </si>
  <si>
    <t xml:space="preserve">chanjo|kideri|mdondo|newcastle|lasota</t>
  </si>
  <si>
    <t xml:space="preserve">Live Newcastle disease vaccine for chickens.</t>
  </si>
  <si>
    <t xml:space="preserve">P064</t>
  </si>
  <si>
    <t xml:space="preserve">Newcastle Thermostable I-2 Vaccine</t>
  </si>
  <si>
    <t xml:space="preserve">eye_nasal_drop|drinking_water</t>
  </si>
  <si>
    <t xml:space="preserve">Live NDV I-2 thermostable strain</t>
  </si>
  <si>
    <t xml:space="preserve">DEMO-VAC-0064</t>
  </si>
  <si>
    <t xml:space="preserve">chanjo|kideri|kuku wa kienyeji|i-2</t>
  </si>
  <si>
    <t xml:space="preserve">Thermostable Newcastle vaccine suited to village chickens.</t>
  </si>
  <si>
    <t xml:space="preserve">P065</t>
  </si>
  <si>
    <t xml:space="preserve">Gumboro (IBD) Vaccine</t>
  </si>
  <si>
    <t xml:space="preserve">Live intermediate IBD strain</t>
  </si>
  <si>
    <t xml:space="preserve">DEMO-VAC-0065</t>
  </si>
  <si>
    <t xml:space="preserve">chanjo|gumboro|ibd</t>
  </si>
  <si>
    <t xml:space="preserve">Live Gumboro vaccine for chicks.</t>
  </si>
  <si>
    <t xml:space="preserve">P066</t>
  </si>
  <si>
    <t xml:space="preserve">Fowl Pox Vaccine</t>
  </si>
  <si>
    <t xml:space="preserve">Live fowl pox virus</t>
  </si>
  <si>
    <t xml:space="preserve">DEMO-VAC-0066</t>
  </si>
  <si>
    <t xml:space="preserve">chanjo|ndui ya kuku|fowl pox</t>
  </si>
  <si>
    <t xml:space="preserve">Wing-web vaccine against fowl pox.</t>
  </si>
  <si>
    <t xml:space="preserve">P067</t>
  </si>
  <si>
    <t xml:space="preserve">Marek's Disease Vaccine</t>
  </si>
  <si>
    <t xml:space="preserve">HVT strain</t>
  </si>
  <si>
    <t xml:space="preserve">DEMO-VAC-0067</t>
  </si>
  <si>
    <t xml:space="preserve">chanjo|mareks</t>
  </si>
  <si>
    <t xml:space="preserve">Day-old vaccine against Marek's disease (hatchery use).</t>
  </si>
  <si>
    <t xml:space="preserve">P068</t>
  </si>
  <si>
    <t xml:space="preserve">Fowl Typhoid Vaccine</t>
  </si>
  <si>
    <t xml:space="preserve">Salmonella Gallinarum 9R strain</t>
  </si>
  <si>
    <t xml:space="preserve">DEMO-VAC-0068</t>
  </si>
  <si>
    <t xml:space="preserve">chanjo|homa ya matumbo|fowl typhoid</t>
  </si>
  <si>
    <t xml:space="preserve">Vaccine against fowl typhoid for growers and layers.</t>
  </si>
  <si>
    <t xml:space="preserve">P069</t>
  </si>
  <si>
    <t xml:space="preserve">Lumpy Skin Disease Vaccine</t>
  </si>
  <si>
    <t xml:space="preserve">Live attenuated LSD virus</t>
  </si>
  <si>
    <t xml:space="preserve">DEMO-VAC-0069</t>
  </si>
  <si>
    <t xml:space="preserve">chanjo|lsd|ugonjwa wa ngozi</t>
  </si>
  <si>
    <t xml:space="preserve">Vaccine against lumpy skin disease in cattle.</t>
  </si>
  <si>
    <t xml:space="preserve">P070</t>
  </si>
  <si>
    <t xml:space="preserve">Anthrax Spore Vaccine</t>
  </si>
  <si>
    <t xml:space="preserve">Live Sterne spore</t>
  </si>
  <si>
    <t xml:space="preserve">DEMO-VAC-0070</t>
  </si>
  <si>
    <t xml:space="preserve">chanjo|kimeta|anthrax</t>
  </si>
  <si>
    <t xml:space="preserve">Anthrax vaccine for cattle, goats and sheep.</t>
  </si>
  <si>
    <t xml:space="preserve">P071</t>
  </si>
  <si>
    <t xml:space="preserve">PPR Vaccine</t>
  </si>
  <si>
    <t xml:space="preserve">Live attenuated PPR virus</t>
  </si>
  <si>
    <t xml:space="preserve">DEMO-VAC-0071</t>
  </si>
  <si>
    <t xml:space="preserve">chanjo|sotoka|ppr|mbuzi</t>
  </si>
  <si>
    <t xml:space="preserve">Vaccine against PPR in goats and sheep.</t>
  </si>
  <si>
    <t xml:space="preserve">P072</t>
  </si>
  <si>
    <t xml:space="preserve">Farm Disinfectant (Glutaraldehyde + Quat)</t>
  </si>
  <si>
    <t xml:space="preserve">Biosecurity &amp; hygiene &gt; Disinfectants &amp; sanitisers</t>
  </si>
  <si>
    <t xml:space="preserve">surface_application|spray_dip</t>
  </si>
  <si>
    <t xml:space="preserve">Glutaraldehyde + quaternary ammonium</t>
  </si>
  <si>
    <t xml:space="preserve">DEMO-DIS-0072</t>
  </si>
  <si>
    <t xml:space="preserve">dawa ya kuua vijidudu|usafi wa banda|disinfectant</t>
  </si>
  <si>
    <t xml:space="preserve">Broad-spectrum disinfectant for houses, equipment and foot dips.</t>
  </si>
  <si>
    <t xml:space="preserve">P073</t>
  </si>
  <si>
    <t xml:space="preserve">Povidone Iodine Solution</t>
  </si>
  <si>
    <t xml:space="preserve">AN-POU|AN-PIG|AN-CAT|AN-GTS</t>
  </si>
  <si>
    <t xml:space="preserve">surface_application|topical</t>
  </si>
  <si>
    <t xml:space="preserve">biosecurity|wounds</t>
  </si>
  <si>
    <t xml:space="preserve">Povidone iodine 10%</t>
  </si>
  <si>
    <t xml:space="preserve">DEMO-DIS-0073</t>
  </si>
  <si>
    <t xml:space="preserve">iodine|dawa ya kuua vijidudu</t>
  </si>
  <si>
    <t xml:space="preserve">Iodine disinfectant and antiseptic.</t>
  </si>
  <si>
    <t xml:space="preserve">P074</t>
  </si>
  <si>
    <t xml:space="preserve">Water Sanitiser Tablets</t>
  </si>
  <si>
    <t xml:space="preserve">Sodium dichloroisocyanurate</t>
  </si>
  <si>
    <t xml:space="preserve">DEMO-DIS-0074</t>
  </si>
  <si>
    <t xml:space="preserve">maji safi|usafi wa maji</t>
  </si>
  <si>
    <t xml:space="preserve">Chlorine tablets for drinking water sanitation.</t>
  </si>
  <si>
    <t xml:space="preserve">P075</t>
  </si>
  <si>
    <t xml:space="preserve">Rat Bait Blocks</t>
  </si>
  <si>
    <t xml:space="preserve">Biosecurity &amp; hygiene &gt; Pest &amp; rodent control</t>
  </si>
  <si>
    <t xml:space="preserve">Brodifacoum 0.005%</t>
  </si>
  <si>
    <t xml:space="preserve">Locked store away from feed, children and animals</t>
  </si>
  <si>
    <t xml:space="preserve">DEMO-PES-0075</t>
  </si>
  <si>
    <t xml:space="preserve">panya|sumu ya panya</t>
  </si>
  <si>
    <t xml:space="preserve">Rodenticide bait blocks for use in bait stations only.</t>
  </si>
  <si>
    <t xml:space="preserve">P076</t>
  </si>
  <si>
    <t xml:space="preserve">Chick Drinker</t>
  </si>
  <si>
    <t xml:space="preserve">Equipment &amp; supplies &gt; Feeders &amp; drinkers</t>
  </si>
  <si>
    <t xml:space="preserve">4 L</t>
  </si>
  <si>
    <t xml:space="preserve">drinka|chombo cha maji|vifaranga</t>
  </si>
  <si>
    <t xml:space="preserve">Plastic drinker for chicks.</t>
  </si>
  <si>
    <t xml:space="preserve">P077</t>
  </si>
  <si>
    <t xml:space="preserve">Poultry Drinker</t>
  </si>
  <si>
    <t xml:space="preserve">10 L</t>
  </si>
  <si>
    <t xml:space="preserve">drinka|chombo cha maji</t>
  </si>
  <si>
    <t xml:space="preserve">Plastic drinker for growers and adult birds.</t>
  </si>
  <si>
    <t xml:space="preserve">P078</t>
  </si>
  <si>
    <t xml:space="preserve">Hanging Poultry Feeder</t>
  </si>
  <si>
    <t xml:space="preserve">10 kg</t>
  </si>
  <si>
    <t xml:space="preserve">fida|chombo cha chakula|feeder</t>
  </si>
  <si>
    <t xml:space="preserve">Round hanging tube feeder.</t>
  </si>
  <si>
    <t xml:space="preserve">P079</t>
  </si>
  <si>
    <t xml:space="preserve">Chick Feeder Tray</t>
  </si>
  <si>
    <t xml:space="preserve">Approx. 50 chicks</t>
  </si>
  <si>
    <t xml:space="preserve">fida|vifaranga|feeder tray</t>
  </si>
  <si>
    <t xml:space="preserve">Flat feeder tray for the first week.</t>
  </si>
  <si>
    <t xml:space="preserve">P080</t>
  </si>
  <si>
    <t xml:space="preserve">Nipple Drinker Line Kit</t>
  </si>
  <si>
    <t xml:space="preserve">10 nipples, 3 m pipe</t>
  </si>
  <si>
    <t xml:space="preserve">nipple|drinka</t>
  </si>
  <si>
    <t xml:space="preserve">Nipple drinker kit with pipe, nipples and header tank adaptor.</t>
  </si>
  <si>
    <t xml:space="preserve">P081</t>
  </si>
  <si>
    <t xml:space="preserve">Pig Feeding Trough</t>
  </si>
  <si>
    <t xml:space="preserve">1 m</t>
  </si>
  <si>
    <t xml:space="preserve">nguruwe|hori|trough</t>
  </si>
  <si>
    <t xml:space="preserve">Heavy plastic feeding trough for pigs.</t>
  </si>
  <si>
    <t xml:space="preserve">P082</t>
  </si>
  <si>
    <t xml:space="preserve">Infrared Brooder Bulb 250W</t>
  </si>
  <si>
    <t xml:space="preserve">Equipment &amp; supplies &gt; Brooding &amp; heating</t>
  </si>
  <si>
    <t xml:space="preserve">250 W</t>
  </si>
  <si>
    <t xml:space="preserve">taa ya joto|bruda|brooder</t>
  </si>
  <si>
    <t xml:space="preserve">Infrared heat bulb for brooding chicks or piglets.</t>
  </si>
  <si>
    <t xml:space="preserve">P083</t>
  </si>
  <si>
    <t xml:space="preserve">Charcoal Brooder</t>
  </si>
  <si>
    <t xml:space="preserve">Approx. 300 chicks</t>
  </si>
  <si>
    <t xml:space="preserve">bruda|jiko la vifaranga</t>
  </si>
  <si>
    <t xml:space="preserve">Metal charcoal brooder for off-grid farms.</t>
  </si>
  <si>
    <t xml:space="preserve">P084</t>
  </si>
  <si>
    <t xml:space="preserve">Layer Battery Cage (96 birds)</t>
  </si>
  <si>
    <t xml:space="preserve">Equipment &amp; supplies &gt; Housing, cages &amp; nests</t>
  </si>
  <si>
    <t xml:space="preserve">96 birds, 3 tiers</t>
  </si>
  <si>
    <t xml:space="preserve">kizimba|cage|banda</t>
  </si>
  <si>
    <t xml:space="preserve">Galvanised 3-tier A-frame battery cage.</t>
  </si>
  <si>
    <t xml:space="preserve">P085</t>
  </si>
  <si>
    <t xml:space="preserve">Laying Nest Box (10 holes)</t>
  </si>
  <si>
    <t xml:space="preserve">10 holes</t>
  </si>
  <si>
    <t xml:space="preserve">kiota|nest</t>
  </si>
  <si>
    <t xml:space="preserve">Metal community nest box.</t>
  </si>
  <si>
    <t xml:space="preserve">P086</t>
  </si>
  <si>
    <t xml:space="preserve">Egg Incubator 64 Eggs</t>
  </si>
  <si>
    <t xml:space="preserve">Equipment &amp; supplies &gt; Incubators &amp; hatching</t>
  </si>
  <si>
    <t xml:space="preserve">64 eggs</t>
  </si>
  <si>
    <t xml:space="preserve">mashine ya kutotolesha|incubator</t>
  </si>
  <si>
    <t xml:space="preserve">Small automatic incubator with 12 V solar input.</t>
  </si>
  <si>
    <t xml:space="preserve">P087</t>
  </si>
  <si>
    <t xml:space="preserve">Egg Incubator 528 Eggs</t>
  </si>
  <si>
    <t xml:space="preserve">528 eggs</t>
  </si>
  <si>
    <t xml:space="preserve">Automatic incubator with turning and humidity control.</t>
  </si>
  <si>
    <t xml:space="preserve">P088</t>
  </si>
  <si>
    <t xml:space="preserve">Egg Trays (30-egg)</t>
  </si>
  <si>
    <t xml:space="preserve">Equipment &amp; supplies &gt; Egg handling &amp; packaging</t>
  </si>
  <si>
    <t xml:space="preserve">30 eggs per tray</t>
  </si>
  <si>
    <t xml:space="preserve">trei za mayai|egg tray</t>
  </si>
  <si>
    <t xml:space="preserve">Moulded-pulp egg trays, pack of 100.</t>
  </si>
  <si>
    <t xml:space="preserve">P089</t>
  </si>
  <si>
    <t xml:space="preserve">Automatic Vaccination Syringe 5 ml</t>
  </si>
  <si>
    <t xml:space="preserve">Equipment &amp; supplies &gt; Veterinary tools</t>
  </si>
  <si>
    <t xml:space="preserve">5 ml</t>
  </si>
  <si>
    <t xml:space="preserve">sindano|syringe</t>
  </si>
  <si>
    <t xml:space="preserve">Continuous self-refilling syringe for mass vaccination.</t>
  </si>
  <si>
    <t xml:space="preserve">P090</t>
  </si>
  <si>
    <t xml:space="preserve">Disposable Syringes 10 ml</t>
  </si>
  <si>
    <t xml:space="preserve">10 ml</t>
  </si>
  <si>
    <t xml:space="preserve">Box of 100 sterile disposable syringes with needles.</t>
  </si>
  <si>
    <t xml:space="preserve">P091</t>
  </si>
  <si>
    <t xml:space="preserve">Drenching Gun 30 ml</t>
  </si>
  <si>
    <t xml:space="preserve">30 ml</t>
  </si>
  <si>
    <t xml:space="preserve">drench|dawa ya minyoo</t>
  </si>
  <si>
    <t xml:space="preserve">Adjustable dose drenching gun.</t>
  </si>
  <si>
    <t xml:space="preserve">P092</t>
  </si>
  <si>
    <t xml:space="preserve">Digital Veterinary Thermometer</t>
  </si>
  <si>
    <t xml:space="preserve">Fast read</t>
  </si>
  <si>
    <t xml:space="preserve">kipimajoto|thermometer</t>
  </si>
  <si>
    <t xml:space="preserve">Digital rectal thermometer for livestock.</t>
  </si>
  <si>
    <t xml:space="preserve">P093</t>
  </si>
  <si>
    <t xml:space="preserve">Aluminium Milk Can 20 L</t>
  </si>
  <si>
    <t xml:space="preserve">Equipment &amp; supplies &gt; Milking &amp; dairy equipment</t>
  </si>
  <si>
    <t xml:space="preserve">20 L</t>
  </si>
  <si>
    <t xml:space="preserve">chombo cha maziwa|milk can</t>
  </si>
  <si>
    <t xml:space="preserve">Food-grade aluminium milk can.</t>
  </si>
  <si>
    <t xml:space="preserve">P094</t>
  </si>
  <si>
    <t xml:space="preserve">Hanging Scale 50 kg</t>
  </si>
  <si>
    <t xml:space="preserve">Equipment &amp; supplies &gt; Weighing &amp; measuring</t>
  </si>
  <si>
    <t xml:space="preserve">AN-POU|AN-PIG|AN-GTS</t>
  </si>
  <si>
    <t xml:space="preserve">50 kg</t>
  </si>
  <si>
    <t xml:space="preserve">mizani|scale</t>
  </si>
  <si>
    <t xml:space="preserve">Spring hanging scale for weighing birds, piglets and feed.</t>
  </si>
  <si>
    <t xml:space="preserve">P095</t>
  </si>
  <si>
    <t xml:space="preserve">Kibo Broiler Day-old Chicks</t>
  </si>
  <si>
    <t xml:space="preserve">Live animals &amp; genetics &gt; Day-old chicks &amp; hatching eggs</t>
  </si>
  <si>
    <t xml:space="preserve">Collect on hatch/delivery date</t>
  </si>
  <si>
    <t xml:space="preserve">Commercial broiler</t>
  </si>
  <si>
    <t xml:space="preserve">vifaranga|vifaranga vya nyama|broila|kuku wa nyama|kibo</t>
  </si>
  <si>
    <t xml:space="preserve">Day-old broiler chicks from Kibo, booked against a hatch date (see Hatch_Schedule). Minimum order 50 chicks.</t>
  </si>
  <si>
    <t xml:space="preserve">P096</t>
  </si>
  <si>
    <t xml:space="preserve">Harsho Broiler Day-old Chicks</t>
  </si>
  <si>
    <t xml:space="preserve">vifaranga|vifaranga vya nyama|broila|kuku wa nyama|harsho</t>
  </si>
  <si>
    <t xml:space="preserve">Day-old broiler chicks from Harsho, booked against a hatch date (see Hatch_Schedule). Minimum order 50 chicks.</t>
  </si>
  <si>
    <t xml:space="preserve">P097</t>
  </si>
  <si>
    <t xml:space="preserve">Backbone Broiler Day-old Chicks</t>
  </si>
  <si>
    <t xml:space="preserve">vifaranga|vifaranga vya nyama|broila|kuku wa nyama|backbone</t>
  </si>
  <si>
    <t xml:space="preserve">Day-old broiler chicks from Backbone, booked against a hatch date (see Hatch_Schedule). Minimum order 50 chicks.</t>
  </si>
  <si>
    <t xml:space="preserve">P098</t>
  </si>
  <si>
    <t xml:space="preserve">Irvines Broiler Day-old Chicks</t>
  </si>
  <si>
    <t xml:space="preserve">vifaranga|vifaranga vya nyama|broila|kuku wa nyama|irvines</t>
  </si>
  <si>
    <t xml:space="preserve">Day-old broiler chicks from Irvines, booked against a hatch date (see Hatch_Schedule). Minimum order 50 chicks.</t>
  </si>
  <si>
    <t xml:space="preserve">P099</t>
  </si>
  <si>
    <t xml:space="preserve">Organia Broiler Day-old Chicks</t>
  </si>
  <si>
    <t xml:space="preserve">vifaranga|vifaranga vya nyama|broila|kuku wa nyama|organia</t>
  </si>
  <si>
    <t xml:space="preserve">Day-old broiler chicks from Organia, booked against a hatch date (see Hatch_Schedule). Minimum order 50 chicks.</t>
  </si>
  <si>
    <t xml:space="preserve">P100</t>
  </si>
  <si>
    <t xml:space="preserve">Happy Chicks Broiler Day-old Chicks</t>
  </si>
  <si>
    <t xml:space="preserve">vifaranga|vifaranga vya nyama|broila|kuku wa nyama|happy chicks</t>
  </si>
  <si>
    <t xml:space="preserve">Day-old broiler chicks from Happy Chicks, booked against a hatch date (see Hatch_Schedule). Minimum order 50 chicks.</t>
  </si>
  <si>
    <t xml:space="preserve">P101</t>
  </si>
  <si>
    <t xml:space="preserve">Central Chicks (Animal Care) Broiler Day-old Chicks</t>
  </si>
  <si>
    <t xml:space="preserve">vifaranga|vifaranga vya nyama|broila|kuku wa nyama|central chicks (animal care)</t>
  </si>
  <si>
    <t xml:space="preserve">Day-old broiler chicks from Central Chicks (Animal Care), booked against a hatch date (see Hatch_Schedule). Minimum order 50 chicks.</t>
  </si>
  <si>
    <t xml:space="preserve">P102</t>
  </si>
  <si>
    <t xml:space="preserve">Tanzania Poultry Farms Broiler Day-old Chicks</t>
  </si>
  <si>
    <t xml:space="preserve">vifaranga|vifaranga vya nyama|broila|kuku wa nyama|tanzania poultry farms</t>
  </si>
  <si>
    <t xml:space="preserve">Day-old broiler chicks from Tanzania Poultry Farms, booked against a hatch date (see Hatch_Schedule). Minimum order 50 chicks.</t>
  </si>
  <si>
    <t xml:space="preserve">P103</t>
  </si>
  <si>
    <t xml:space="preserve">Tanzania Poultry Farms Layer Day-old Chicks</t>
  </si>
  <si>
    <t xml:space="preserve">Commercial layer</t>
  </si>
  <si>
    <t xml:space="preserve">vifaranga|vifaranga vya mayai|leya|kuku wa mayai|tanzania poultry farms</t>
  </si>
  <si>
    <t xml:space="preserve">Day-old layer chicks from Tanzania Poultry Farms, booked against a hatch date (see Hatch_Schedule). Minimum order 50 chicks.</t>
  </si>
  <si>
    <t xml:space="preserve">P104</t>
  </si>
  <si>
    <t xml:space="preserve">Mkuza Chicks Broiler Day-old Chicks</t>
  </si>
  <si>
    <t xml:space="preserve">vifaranga|vifaranga vya nyama|broila|kuku wa nyama|mkuza chicks</t>
  </si>
  <si>
    <t xml:space="preserve">Day-old broiler chicks from Mkuza Chicks, booked against a hatch date (see Hatch_Schedule). Minimum order 50 chicks.</t>
  </si>
  <si>
    <t xml:space="preserve">P105</t>
  </si>
  <si>
    <t xml:space="preserve">Mkuza Chicks Layer Day-old Chicks</t>
  </si>
  <si>
    <t xml:space="preserve">vifaranga|vifaranga vya mayai|leya|kuku wa mayai|mkuza chicks</t>
  </si>
  <si>
    <t xml:space="preserve">Day-old layer chicks from Mkuza Chicks, booked against a hatch date (see Hatch_Schedule). Minimum order 50 chicks.</t>
  </si>
  <si>
    <t xml:space="preserve">P106</t>
  </si>
  <si>
    <t xml:space="preserve">Interchick Broiler Day-old Chicks</t>
  </si>
  <si>
    <t xml:space="preserve">vifaranga|vifaranga vya nyama|broila|kuku wa nyama|interchick</t>
  </si>
  <si>
    <t xml:space="preserve">Day-old broiler chicks from Interchick, booked against a hatch date (see Hatch_Schedule). Minimum order 50 chicks.</t>
  </si>
  <si>
    <t xml:space="preserve">P107</t>
  </si>
  <si>
    <t xml:space="preserve">Interchick Layer Day-old Chicks</t>
  </si>
  <si>
    <t xml:space="preserve">vifaranga|vifaranga vya mayai|leya|kuku wa mayai|interchick</t>
  </si>
  <si>
    <t xml:space="preserve">Day-old layer chicks from Interchick, booked against a hatch date (see Hatch_Schedule). Minimum order 50 chicks.</t>
  </si>
  <si>
    <t xml:space="preserve">P108</t>
  </si>
  <si>
    <t xml:space="preserve">Interchick Tanbro Day-old Chicks</t>
  </si>
  <si>
    <t xml:space="preserve">Tanbro</t>
  </si>
  <si>
    <t xml:space="preserve">vifaranga|tanbro|chotara|kuku wa kienyeji|interchick</t>
  </si>
  <si>
    <t xml:space="preserve">Day-old tanbro chicks from Interchick, booked against a hatch date (see Hatch_Schedule). Minimum order 50 chicks.</t>
  </si>
  <si>
    <t xml:space="preserve">P109</t>
  </si>
  <si>
    <t xml:space="preserve">Silverlands Broiler Day-old Chicks</t>
  </si>
  <si>
    <t xml:space="preserve">vifaranga|vifaranga vya nyama|broila|kuku wa nyama|silverlands</t>
  </si>
  <si>
    <t xml:space="preserve">Day-old broiler chicks from Silverlands, booked against a hatch date (see Hatch_Schedule). Minimum order 50 chicks.</t>
  </si>
  <si>
    <t xml:space="preserve">P110</t>
  </si>
  <si>
    <t xml:space="preserve">Silverlands Layer Day-old Chicks</t>
  </si>
  <si>
    <t xml:space="preserve">vifaranga|vifaranga vya mayai|leya|kuku wa mayai|silverlands</t>
  </si>
  <si>
    <t xml:space="preserve">Day-old layer chicks from Silverlands, booked against a hatch date (see Hatch_Schedule). Minimum order 50 chicks.</t>
  </si>
  <si>
    <t xml:space="preserve">P111</t>
  </si>
  <si>
    <t xml:space="preserve">Silverlands Sasso Day-old Chicks</t>
  </si>
  <si>
    <t xml:space="preserve">Sasso</t>
  </si>
  <si>
    <t xml:space="preserve">vifaranga|sasso|chotara|kuku wa kienyeji|silverlands</t>
  </si>
  <si>
    <t xml:space="preserve">Day-old sasso chicks from Silverlands, booked against a hatch date (see Hatch_Schedule). Minimum order 50 chicks.</t>
  </si>
  <si>
    <t xml:space="preserve">P112</t>
  </si>
  <si>
    <t xml:space="preserve">Point-of-Lay Pullets</t>
  </si>
  <si>
    <t xml:space="preserve">Live animals &amp; genetics &gt; Young stock</t>
  </si>
  <si>
    <t xml:space="preserve">Commercial layer, 18 weeks (demo)</t>
  </si>
  <si>
    <t xml:space="preserve">kuku wa mayai|pullets|kuku wanaoanza kutaga</t>
  </si>
  <si>
    <t xml:space="preserve">Vaccinated pullets ready to lay.</t>
  </si>
  <si>
    <t xml:space="preserve">P113</t>
  </si>
  <si>
    <t xml:space="preserve">Weaner Piglets</t>
  </si>
  <si>
    <t xml:space="preserve">Large White x Landrace (demo)</t>
  </si>
  <si>
    <t xml:space="preserve">watoto wa nguruwe|nguruwe|piglets</t>
  </si>
  <si>
    <t xml:space="preserve">8-week weaner piglets, dewormed.</t>
  </si>
  <si>
    <t xml:space="preserve">P114</t>
  </si>
  <si>
    <t xml:space="preserve">Tilapia Fingerlings (Mono-sex)</t>
  </si>
  <si>
    <t xml:space="preserve">Nile tilapia, all-male (demo)</t>
  </si>
  <si>
    <t xml:space="preserve">vifaranga vya samaki|sato|fingerlings</t>
  </si>
  <si>
    <t xml:space="preserve">All-male tilapia fingerlings in oxygenated bags.</t>
  </si>
  <si>
    <t xml:space="preserve">P115</t>
  </si>
  <si>
    <t xml:space="preserve">Friesian Dairy Semen</t>
  </si>
  <si>
    <t xml:space="preserve">Live animals &amp; genetics &gt; Semen &amp; AI</t>
  </si>
  <si>
    <t xml:space="preserve">LS-CAT-HEF|LS-CAT-LAC</t>
  </si>
  <si>
    <t xml:space="preserve">Liquid nitrogen (-196 C)</t>
  </si>
  <si>
    <t xml:space="preserve">DEMO-GEN-0115</t>
  </si>
  <si>
    <t xml:space="preserve">Holstein-Friesian (demo bull)</t>
  </si>
  <si>
    <t xml:space="preserve">uhimilishaji|mbegu ya ng'ombe|semen|ai</t>
  </si>
  <si>
    <t xml:space="preserve">Frozen semen straw for artificial insemination by a trained technician.</t>
  </si>
  <si>
    <t xml:space="preserve">sku</t>
  </si>
  <si>
    <t xml:space="preserve">variant_name</t>
  </si>
  <si>
    <t xml:space="preserve">reference_price_tzs</t>
  </si>
  <si>
    <t xml:space="preserve">stocked_in_stores</t>
  </si>
  <si>
    <t xml:space="preserve">P001-25KG</t>
  </si>
  <si>
    <t xml:space="preserve">25 kg bag</t>
  </si>
  <si>
    <t xml:space="preserve">Broiler Starter Crumbs - 25 kg bag</t>
  </si>
  <si>
    <t xml:space="preserve">2000000000015</t>
  </si>
  <si>
    <t xml:space="preserve">P001-50KG</t>
  </si>
  <si>
    <t xml:space="preserve">50 kg bag</t>
  </si>
  <si>
    <t xml:space="preserve">Broiler Starter Crumbs - 50 kg bag</t>
  </si>
  <si>
    <t xml:space="preserve">2000000000022</t>
  </si>
  <si>
    <t xml:space="preserve">P002-25KG</t>
  </si>
  <si>
    <t xml:space="preserve">Broiler Grower Pellets - 25 kg bag</t>
  </si>
  <si>
    <t xml:space="preserve">2000000000039</t>
  </si>
  <si>
    <t xml:space="preserve">P002-50KG</t>
  </si>
  <si>
    <t xml:space="preserve">Broiler Grower Pellets - 50 kg bag</t>
  </si>
  <si>
    <t xml:space="preserve">2000000000046</t>
  </si>
  <si>
    <t xml:space="preserve">P003-25KG</t>
  </si>
  <si>
    <t xml:space="preserve">Broiler Finisher Pellets - 25 kg bag</t>
  </si>
  <si>
    <t xml:space="preserve">2000000000053</t>
  </si>
  <si>
    <t xml:space="preserve">P003-50KG</t>
  </si>
  <si>
    <t xml:space="preserve">Broiler Finisher Pellets - 50 kg bag</t>
  </si>
  <si>
    <t xml:space="preserve">2000000000060</t>
  </si>
  <si>
    <t xml:space="preserve">P004-50KG</t>
  </si>
  <si>
    <t xml:space="preserve">Chick &amp; Duck Mash - 50 kg bag</t>
  </si>
  <si>
    <t xml:space="preserve">2000000000077</t>
  </si>
  <si>
    <t xml:space="preserve">P005-25KG</t>
  </si>
  <si>
    <t xml:space="preserve">Growers Mash - 25 kg bag</t>
  </si>
  <si>
    <t xml:space="preserve">2000000000084</t>
  </si>
  <si>
    <t xml:space="preserve">P005-50KG</t>
  </si>
  <si>
    <t xml:space="preserve">Growers Mash - 50 kg bag</t>
  </si>
  <si>
    <t xml:space="preserve">2000000000091</t>
  </si>
  <si>
    <t xml:space="preserve">P006-25KG</t>
  </si>
  <si>
    <t xml:space="preserve">Layers Mash - 25 kg bag</t>
  </si>
  <si>
    <t xml:space="preserve">2000000000107</t>
  </si>
  <si>
    <t xml:space="preserve">P006-50KG</t>
  </si>
  <si>
    <t xml:space="preserve">Layers Mash - 50 kg bag</t>
  </si>
  <si>
    <t xml:space="preserve">2000000000114</t>
  </si>
  <si>
    <t xml:space="preserve">P007-50KG</t>
  </si>
  <si>
    <t xml:space="preserve">Kienyeji Grower Mash - 50 kg bag</t>
  </si>
  <si>
    <t xml:space="preserve">2000000000121</t>
  </si>
  <si>
    <t xml:space="preserve">P008-25KG</t>
  </si>
  <si>
    <t xml:space="preserve">Pig Creep Pellets - 25 kg bag</t>
  </si>
  <si>
    <t xml:space="preserve">2000000000138</t>
  </si>
  <si>
    <t xml:space="preserve">P009-50KG</t>
  </si>
  <si>
    <t xml:space="preserve">Pig Grower Pellets - 50 kg bag</t>
  </si>
  <si>
    <t xml:space="preserve">2000000000145</t>
  </si>
  <si>
    <t xml:space="preserve">P010-50KG</t>
  </si>
  <si>
    <t xml:space="preserve">Sow &amp; Weaner Meal - 50 kg bag</t>
  </si>
  <si>
    <t xml:space="preserve">2000000000152</t>
  </si>
  <si>
    <t xml:space="preserve">P011-50KG</t>
  </si>
  <si>
    <t xml:space="preserve">Dairy Meal - 50 kg bag</t>
  </si>
  <si>
    <t xml:space="preserve">2000000000169</t>
  </si>
  <si>
    <t xml:space="preserve">P011-70KG</t>
  </si>
  <si>
    <t xml:space="preserve">70 kg bag</t>
  </si>
  <si>
    <t xml:space="preserve">Dairy Meal - 70 kg bag</t>
  </si>
  <si>
    <t xml:space="preserve">2000000000176</t>
  </si>
  <si>
    <t xml:space="preserve">P012-25KG</t>
  </si>
  <si>
    <t xml:space="preserve">Calf Starter Pellets - 25 kg bag</t>
  </si>
  <si>
    <t xml:space="preserve">2000000000183</t>
  </si>
  <si>
    <t xml:space="preserve">P013-50KG</t>
  </si>
  <si>
    <t xml:space="preserve">Goat &amp; Sheep Meal - 50 kg bag</t>
  </si>
  <si>
    <t xml:space="preserve">2000000000190</t>
  </si>
  <si>
    <t xml:space="preserve">P014-25KG</t>
  </si>
  <si>
    <t xml:space="preserve">Tilapia Floating Feed 2 mm - 25 kg bag</t>
  </si>
  <si>
    <t xml:space="preserve">2000000000206</t>
  </si>
  <si>
    <t xml:space="preserve">P015-25KG</t>
  </si>
  <si>
    <t xml:space="preserve">Tilapia Floating Feed 4 mm - 25 kg bag</t>
  </si>
  <si>
    <t xml:space="preserve">2000000000213</t>
  </si>
  <si>
    <t xml:space="preserve">P016-25KG</t>
  </si>
  <si>
    <t xml:space="preserve">Catfish Floating Feed - 25 kg bag</t>
  </si>
  <si>
    <t xml:space="preserve">2000000000220</t>
  </si>
  <si>
    <t xml:space="preserve">P017-25KG</t>
  </si>
  <si>
    <t xml:space="preserve">Rabbit Pellets - 25 kg bag</t>
  </si>
  <si>
    <t xml:space="preserve">2000000000237</t>
  </si>
  <si>
    <t xml:space="preserve">P018-25KG</t>
  </si>
  <si>
    <t xml:space="preserve">Pig Protein Concentrate 20% - 25 kg bag</t>
  </si>
  <si>
    <t xml:space="preserve">2000000000244</t>
  </si>
  <si>
    <t xml:space="preserve">P018-50KG</t>
  </si>
  <si>
    <t xml:space="preserve">Pig Protein Concentrate 20% - 50 kg bag</t>
  </si>
  <si>
    <t xml:space="preserve">2000000000251</t>
  </si>
  <si>
    <t xml:space="preserve">P019-50KG</t>
  </si>
  <si>
    <t xml:space="preserve">Broiler Concentrate 30% - 50 kg bag</t>
  </si>
  <si>
    <t xml:space="preserve">2000000000268</t>
  </si>
  <si>
    <t xml:space="preserve">P020-50KG</t>
  </si>
  <si>
    <t xml:space="preserve">Layers Concentrate - 50 kg bag</t>
  </si>
  <si>
    <t xml:space="preserve">2000000000275</t>
  </si>
  <si>
    <t xml:space="preserve">P021-50KG</t>
  </si>
  <si>
    <t xml:space="preserve">Dairy Concentrate - 50 kg bag</t>
  </si>
  <si>
    <t xml:space="preserve">2000000000282</t>
  </si>
  <si>
    <t xml:space="preserve">P022-1KG</t>
  </si>
  <si>
    <t xml:space="preserve">1 kg pack</t>
  </si>
  <si>
    <t xml:space="preserve">Broiler Premix 2.5% - 1 kg pack</t>
  </si>
  <si>
    <t xml:space="preserve">2000000000299</t>
  </si>
  <si>
    <t xml:space="preserve">P022-5KG</t>
  </si>
  <si>
    <t xml:space="preserve">5 kg bag</t>
  </si>
  <si>
    <t xml:space="preserve">Broiler Premix 2.5% - 5 kg bag</t>
  </si>
  <si>
    <t xml:space="preserve">2000000000305</t>
  </si>
  <si>
    <t xml:space="preserve">P023-1KG</t>
  </si>
  <si>
    <t xml:space="preserve">Layer Premix 2.5% - 1 kg pack</t>
  </si>
  <si>
    <t xml:space="preserve">2000000000312</t>
  </si>
  <si>
    <t xml:space="preserve">P023-5KG</t>
  </si>
  <si>
    <t xml:space="preserve">Layer Premix 2.5% - 5 kg bag</t>
  </si>
  <si>
    <t xml:space="preserve">2000000000329</t>
  </si>
  <si>
    <t xml:space="preserve">P024-1KG</t>
  </si>
  <si>
    <t xml:space="preserve">Pig Premix 2.5% - 1 kg pack</t>
  </si>
  <si>
    <t xml:space="preserve">2000000000336</t>
  </si>
  <si>
    <t xml:space="preserve">P024-5KG</t>
  </si>
  <si>
    <t xml:space="preserve">Pig Premix 2.5% - 5 kg bag</t>
  </si>
  <si>
    <t xml:space="preserve">2000000000343</t>
  </si>
  <si>
    <t xml:space="preserve">P025-50KG</t>
  </si>
  <si>
    <t xml:space="preserve">Maize Bran - 50 kg bag</t>
  </si>
  <si>
    <t xml:space="preserve">2000000000350</t>
  </si>
  <si>
    <t xml:space="preserve">P026-50KG</t>
  </si>
  <si>
    <t xml:space="preserve">Sunflower Seed Cake - 50 kg bag</t>
  </si>
  <si>
    <t xml:space="preserve">2000000000367</t>
  </si>
  <si>
    <t xml:space="preserve">P027-50KG</t>
  </si>
  <si>
    <t xml:space="preserve">Soybean Meal - 50 kg bag</t>
  </si>
  <si>
    <t xml:space="preserve">2000000000374</t>
  </si>
  <si>
    <t xml:space="preserve">P028-25KG</t>
  </si>
  <si>
    <t xml:space="preserve">Fish Meal (Dagaa) - 25 kg bag</t>
  </si>
  <si>
    <t xml:space="preserve">2000000000381</t>
  </si>
  <si>
    <t xml:space="preserve">P028-50KG</t>
  </si>
  <si>
    <t xml:space="preserve">Fish Meal (Dagaa) - 50 kg bag</t>
  </si>
  <si>
    <t xml:space="preserve">2000000000398</t>
  </si>
  <si>
    <t xml:space="preserve">P029-50KG</t>
  </si>
  <si>
    <t xml:space="preserve">Feed Limestone - 50 kg bag</t>
  </si>
  <si>
    <t xml:space="preserve">2000000000404</t>
  </si>
  <si>
    <t xml:space="preserve">P030-25KG</t>
  </si>
  <si>
    <t xml:space="preserve">Dicalcium Phosphate (DCP) - 25 kg bag</t>
  </si>
  <si>
    <t xml:space="preserve">2000000000411</t>
  </si>
  <si>
    <t xml:space="preserve">P031-50KG</t>
  </si>
  <si>
    <t xml:space="preserve">Yellow Maize (Whole) - 50 kg bag</t>
  </si>
  <si>
    <t xml:space="preserve">2000000000428</t>
  </si>
  <si>
    <t xml:space="preserve">P032-15KG</t>
  </si>
  <si>
    <t xml:space="preserve">15 kg bale</t>
  </si>
  <si>
    <t xml:space="preserve">Rhodes Grass Hay Bale - 15 kg bale</t>
  </si>
  <si>
    <t xml:space="preserve">2000000000435</t>
  </si>
  <si>
    <t xml:space="preserve">P033-50KG</t>
  </si>
  <si>
    <t xml:space="preserve">Maize Silage (Bagged) - 50 kg bag</t>
  </si>
  <si>
    <t xml:space="preserve">2000000000442</t>
  </si>
  <si>
    <t xml:space="preserve">P034-30G</t>
  </si>
  <si>
    <t xml:space="preserve">30 g sachet</t>
  </si>
  <si>
    <t xml:space="preserve">Vitamix Chick - 30 g sachet</t>
  </si>
  <si>
    <t xml:space="preserve">2000000000459</t>
  </si>
  <si>
    <t xml:space="preserve">P034-100G</t>
  </si>
  <si>
    <t xml:space="preserve">100 g sachet</t>
  </si>
  <si>
    <t xml:space="preserve">Vitamix Chick - 100 g sachet</t>
  </si>
  <si>
    <t xml:space="preserve">2000000000466</t>
  </si>
  <si>
    <t xml:space="preserve">P034-250G</t>
  </si>
  <si>
    <t xml:space="preserve">250 g sachet</t>
  </si>
  <si>
    <t xml:space="preserve">Vitamix Chick - 250 g sachet</t>
  </si>
  <si>
    <t xml:space="preserve">2000000000473</t>
  </si>
  <si>
    <t xml:space="preserve">P035-30G</t>
  </si>
  <si>
    <t xml:space="preserve">Vitamix Plus - 30 g sachet</t>
  </si>
  <si>
    <t xml:space="preserve">2000000000480</t>
  </si>
  <si>
    <t xml:space="preserve">P035-100G</t>
  </si>
  <si>
    <t xml:space="preserve">Vitamix Plus - 100 g sachet</t>
  </si>
  <si>
    <t xml:space="preserve">2000000000497</t>
  </si>
  <si>
    <t xml:space="preserve">P035-250G</t>
  </si>
  <si>
    <t xml:space="preserve">Vitamix Plus - 250 g sachet</t>
  </si>
  <si>
    <t xml:space="preserve">2000000000503</t>
  </si>
  <si>
    <t xml:space="preserve">P036-100G</t>
  </si>
  <si>
    <t xml:space="preserve">Multivitamin Soluble Powder - 100 g sachet</t>
  </si>
  <si>
    <t xml:space="preserve">2000000000510</t>
  </si>
  <si>
    <t xml:space="preserve">P036-1KG</t>
  </si>
  <si>
    <t xml:space="preserve">1 kg tin</t>
  </si>
  <si>
    <t xml:space="preserve">Multivitamin Soluble Powder - 1 kg tin</t>
  </si>
  <si>
    <t xml:space="preserve">2000000000527</t>
  </si>
  <si>
    <t xml:space="preserve">P037-100ML</t>
  </si>
  <si>
    <t xml:space="preserve">100 ml bottle</t>
  </si>
  <si>
    <t xml:space="preserve">Vitamin AD3E Injectable - 100 ml bottle</t>
  </si>
  <si>
    <t xml:space="preserve">2000000000534</t>
  </si>
  <si>
    <t xml:space="preserve">P038-500ML</t>
  </si>
  <si>
    <t xml:space="preserve">500 ml bottle</t>
  </si>
  <si>
    <t xml:space="preserve">Layer Tonic (Egg Booster) - 500 ml bottle</t>
  </si>
  <si>
    <t xml:space="preserve">2000000000541</t>
  </si>
  <si>
    <t xml:space="preserve">P038-1L</t>
  </si>
  <si>
    <t xml:space="preserve">1 L bottle</t>
  </si>
  <si>
    <t xml:space="preserve">Layer Tonic (Egg Booster) - 1 L bottle</t>
  </si>
  <si>
    <t xml:space="preserve">2000000000558</t>
  </si>
  <si>
    <t xml:space="preserve">P039-30G</t>
  </si>
  <si>
    <t xml:space="preserve">Clear Heat Electrolyte - 30 g sachet</t>
  </si>
  <si>
    <t xml:space="preserve">2000000000565</t>
  </si>
  <si>
    <t xml:space="preserve">P039-100G</t>
  </si>
  <si>
    <t xml:space="preserve">Clear Heat Electrolyte - 100 g sachet</t>
  </si>
  <si>
    <t xml:space="preserve">2000000000572</t>
  </si>
  <si>
    <t xml:space="preserve">P039-250G</t>
  </si>
  <si>
    <t xml:space="preserve">Clear Heat Electrolyte - 250 g sachet</t>
  </si>
  <si>
    <t xml:space="preserve">2000000000589</t>
  </si>
  <si>
    <t xml:space="preserve">P040-100G</t>
  </si>
  <si>
    <t xml:space="preserve">Livestock Oral Rehydration Salts - 100 g sachet</t>
  </si>
  <si>
    <t xml:space="preserve">2000000000596</t>
  </si>
  <si>
    <t xml:space="preserve">P041-2KG</t>
  </si>
  <si>
    <t xml:space="preserve">2 kg piece</t>
  </si>
  <si>
    <t xml:space="preserve">Goat &amp; Sheep Mineral Lick - 2 kg piece</t>
  </si>
  <si>
    <t xml:space="preserve">2000000000602</t>
  </si>
  <si>
    <t xml:space="preserve">P042-5KG</t>
  </si>
  <si>
    <t xml:space="preserve">5 kg piece</t>
  </si>
  <si>
    <t xml:space="preserve">Cattle Mineral Lick Block - 5 kg piece</t>
  </si>
  <si>
    <t xml:space="preserve">2000000000619</t>
  </si>
  <si>
    <t xml:space="preserve">P043-2KG</t>
  </si>
  <si>
    <t xml:space="preserve">2 kg pack</t>
  </si>
  <si>
    <t xml:space="preserve">Dairy Mineral Mix - 2 kg pack</t>
  </si>
  <si>
    <t xml:space="preserve">2000000000626</t>
  </si>
  <si>
    <t xml:space="preserve">P043-20KG</t>
  </si>
  <si>
    <t xml:space="preserve">20 kg bag</t>
  </si>
  <si>
    <t xml:space="preserve">Dairy Mineral Mix - 20 kg bag</t>
  </si>
  <si>
    <t xml:space="preserve">2000000000633</t>
  </si>
  <si>
    <t xml:space="preserve">P044-100G</t>
  </si>
  <si>
    <t xml:space="preserve">Poultry Probiotic - 100 g sachet</t>
  </si>
  <si>
    <t xml:space="preserve">2000000000640</t>
  </si>
  <si>
    <t xml:space="preserve">P044-500G</t>
  </si>
  <si>
    <t xml:space="preserve">500 g pack</t>
  </si>
  <si>
    <t xml:space="preserve">Poultry Probiotic - 500 g pack</t>
  </si>
  <si>
    <t xml:space="preserve">2000000000657</t>
  </si>
  <si>
    <t xml:space="preserve">P045-1KG</t>
  </si>
  <si>
    <t xml:space="preserve">Phytase Feed Enzyme - 1 kg pack</t>
  </si>
  <si>
    <t xml:space="preserve">2000000000664</t>
  </si>
  <si>
    <t xml:space="preserve">P046-1KG</t>
  </si>
  <si>
    <t xml:space="preserve">Mycotoxin Binder - 1 kg pack</t>
  </si>
  <si>
    <t xml:space="preserve">2000000000671</t>
  </si>
  <si>
    <t xml:space="preserve">P046-25KG</t>
  </si>
  <si>
    <t xml:space="preserve">Mycotoxin Binder - 25 kg bag</t>
  </si>
  <si>
    <t xml:space="preserve">2000000000688</t>
  </si>
  <si>
    <t xml:space="preserve">P047-500ML</t>
  </si>
  <si>
    <t xml:space="preserve">Liver Tonic &amp; Amino Acids - 500 ml bottle</t>
  </si>
  <si>
    <t xml:space="preserve">2000000000695</t>
  </si>
  <si>
    <t xml:space="preserve">P047-1L</t>
  </si>
  <si>
    <t xml:space="preserve">Liver Tonic &amp; Amino Acids - 1 L bottle</t>
  </si>
  <si>
    <t xml:space="preserve">2000000000701</t>
  </si>
  <si>
    <t xml:space="preserve">P048-50ML</t>
  </si>
  <si>
    <t xml:space="preserve">50 ml bottle</t>
  </si>
  <si>
    <t xml:space="preserve">Oxytetracycline 20% LA Injection - 50 ml bottle</t>
  </si>
  <si>
    <t xml:space="preserve">2000000000718</t>
  </si>
  <si>
    <t xml:space="preserve">P048-100ML</t>
  </si>
  <si>
    <t xml:space="preserve">Oxytetracycline 20% LA Injection - 100 ml bottle</t>
  </si>
  <si>
    <t xml:space="preserve">2000000000725</t>
  </si>
  <si>
    <t xml:space="preserve">P049-100G</t>
  </si>
  <si>
    <t xml:space="preserve">Oxytetracycline Soluble Powder - 100 g sachet</t>
  </si>
  <si>
    <t xml:space="preserve">2000000000732</t>
  </si>
  <si>
    <t xml:space="preserve">P050-100G</t>
  </si>
  <si>
    <t xml:space="preserve">Tylosin Soluble Powder - 100 g sachet</t>
  </si>
  <si>
    <t xml:space="preserve">2000000000749</t>
  </si>
  <si>
    <t xml:space="preserve">P051-100ML</t>
  </si>
  <si>
    <t xml:space="preserve">Penicillin-Streptomycin Injection - 100 ml bottle</t>
  </si>
  <si>
    <t xml:space="preserve">2000000000756</t>
  </si>
  <si>
    <t xml:space="preserve">P052-500ML</t>
  </si>
  <si>
    <t xml:space="preserve">Albendazole 10% Oral Suspension - 500 ml bottle</t>
  </si>
  <si>
    <t xml:space="preserve">2000000000763</t>
  </si>
  <si>
    <t xml:space="preserve">P052-1L</t>
  </si>
  <si>
    <t xml:space="preserve">Albendazole 10% Oral Suspension - 1 L bottle</t>
  </si>
  <si>
    <t xml:space="preserve">2000000000770</t>
  </si>
  <si>
    <t xml:space="preserve">P053-100G</t>
  </si>
  <si>
    <t xml:space="preserve">Piperazine Soluble Powder - 100 g sachet</t>
  </si>
  <si>
    <t xml:space="preserve">2000000000787</t>
  </si>
  <si>
    <t xml:space="preserve">P054-500ML</t>
  </si>
  <si>
    <t xml:space="preserve">Levamisole Oral Drench - 500 ml bottle</t>
  </si>
  <si>
    <t xml:space="preserve">2000000000794</t>
  </si>
  <si>
    <t xml:space="preserve">P055-50ML</t>
  </si>
  <si>
    <t xml:space="preserve">Ivermectin 1% Injection - 50 ml bottle</t>
  </si>
  <si>
    <t xml:space="preserve">2000000000800</t>
  </si>
  <si>
    <t xml:space="preserve">P055-100ML</t>
  </si>
  <si>
    <t xml:space="preserve">Ivermectin 1% Injection - 100 ml bottle</t>
  </si>
  <si>
    <t xml:space="preserve">2000000000817</t>
  </si>
  <si>
    <t xml:space="preserve">P056-100G</t>
  </si>
  <si>
    <t xml:space="preserve">Amprolium 20% Soluble Powder - 100 g sachet</t>
  </si>
  <si>
    <t xml:space="preserve">2000000000824</t>
  </si>
  <si>
    <t xml:space="preserve">P056-1KG</t>
  </si>
  <si>
    <t xml:space="preserve">Amprolium 20% Soluble Powder - 1 kg tin</t>
  </si>
  <si>
    <t xml:space="preserve">2000000000831</t>
  </si>
  <si>
    <t xml:space="preserve">P057-100ML</t>
  </si>
  <si>
    <t xml:space="preserve">Toltrazuril 2.5% Oral Solution - 100 ml bottle</t>
  </si>
  <si>
    <t xml:space="preserve">2000000000848</t>
  </si>
  <si>
    <t xml:space="preserve">P057-1L</t>
  </si>
  <si>
    <t xml:space="preserve">Toltrazuril 2.5% Oral Solution - 1 L bottle</t>
  </si>
  <si>
    <t xml:space="preserve">2000000000855</t>
  </si>
  <si>
    <t xml:space="preserve">P058-250ML</t>
  </si>
  <si>
    <t xml:space="preserve">250 ml bottle</t>
  </si>
  <si>
    <t xml:space="preserve">Amitraz 12.5% Dip Concentrate - 250 ml bottle</t>
  </si>
  <si>
    <t xml:space="preserve">2000000000862</t>
  </si>
  <si>
    <t xml:space="preserve">P058-1L</t>
  </si>
  <si>
    <t xml:space="preserve">Amitraz 12.5% Dip Concentrate - 1 L bottle</t>
  </si>
  <si>
    <t xml:space="preserve">2000000000879</t>
  </si>
  <si>
    <t xml:space="preserve">P059-500ML</t>
  </si>
  <si>
    <t xml:space="preserve">Cypermethrin Pour-On - 500 ml bottle</t>
  </si>
  <si>
    <t xml:space="preserve">2000000000886</t>
  </si>
  <si>
    <t xml:space="preserve">P060-500G</t>
  </si>
  <si>
    <t xml:space="preserve">Poultry Mite &amp; Lice Powder - 500 g pack</t>
  </si>
  <si>
    <t xml:space="preserve">2000000000893</t>
  </si>
  <si>
    <t xml:space="preserve">P061-200ML</t>
  </si>
  <si>
    <t xml:space="preserve">200 ml bottle</t>
  </si>
  <si>
    <t xml:space="preserve">Antiseptic Wound Spray - 200 ml bottle</t>
  </si>
  <si>
    <t xml:space="preserve">2000000000909</t>
  </si>
  <si>
    <t xml:space="preserve">P062-400ML</t>
  </si>
  <si>
    <t xml:space="preserve">400 ml bottle</t>
  </si>
  <si>
    <t xml:space="preserve">Calcium Borogluconate Injection - 400 ml bottle</t>
  </si>
  <si>
    <t xml:space="preserve">2000000000916</t>
  </si>
  <si>
    <t xml:space="preserve">P063-100D</t>
  </si>
  <si>
    <t xml:space="preserve">100 doses vial</t>
  </si>
  <si>
    <t xml:space="preserve">Newcastle Disease Vaccine (LaSota) - 100 doses vial</t>
  </si>
  <si>
    <t xml:space="preserve">2000000000923</t>
  </si>
  <si>
    <t xml:space="preserve">P063-500D</t>
  </si>
  <si>
    <t xml:space="preserve">500 doses vial</t>
  </si>
  <si>
    <t xml:space="preserve">Newcastle Disease Vaccine (LaSota) - 500 doses vial</t>
  </si>
  <si>
    <t xml:space="preserve">2000000000930</t>
  </si>
  <si>
    <t xml:space="preserve">P063-1000D</t>
  </si>
  <si>
    <t xml:space="preserve">1000 doses vial</t>
  </si>
  <si>
    <t xml:space="preserve">Newcastle Disease Vaccine (LaSota) - 1000 doses vial</t>
  </si>
  <si>
    <t xml:space="preserve">2000000000947</t>
  </si>
  <si>
    <t xml:space="preserve">P064-100D</t>
  </si>
  <si>
    <t xml:space="preserve">Newcastle Thermostable I-2 Vaccine - 100 doses vial</t>
  </si>
  <si>
    <t xml:space="preserve">2000000000954</t>
  </si>
  <si>
    <t xml:space="preserve">P064-200D</t>
  </si>
  <si>
    <t xml:space="preserve">200 doses vial</t>
  </si>
  <si>
    <t xml:space="preserve">Newcastle Thermostable I-2 Vaccine - 200 doses vial</t>
  </si>
  <si>
    <t xml:space="preserve">2000000000961</t>
  </si>
  <si>
    <t xml:space="preserve">P065-500D</t>
  </si>
  <si>
    <t xml:space="preserve">Gumboro (IBD) Vaccine - 500 doses vial</t>
  </si>
  <si>
    <t xml:space="preserve">2000000000978</t>
  </si>
  <si>
    <t xml:space="preserve">P065-1000D</t>
  </si>
  <si>
    <t xml:space="preserve">Gumboro (IBD) Vaccine - 1000 doses vial</t>
  </si>
  <si>
    <t xml:space="preserve">2000000000985</t>
  </si>
  <si>
    <t xml:space="preserve">P066-100D</t>
  </si>
  <si>
    <t xml:space="preserve">Fowl Pox Vaccine - 100 doses vial</t>
  </si>
  <si>
    <t xml:space="preserve">2000000000992</t>
  </si>
  <si>
    <t xml:space="preserve">P066-1000D</t>
  </si>
  <si>
    <t xml:space="preserve">Fowl Pox Vaccine - 1000 doses vial</t>
  </si>
  <si>
    <t xml:space="preserve">2000000001005</t>
  </si>
  <si>
    <t xml:space="preserve">P067-1000D</t>
  </si>
  <si>
    <t xml:space="preserve">Marek's Disease Vaccine - 1000 doses vial</t>
  </si>
  <si>
    <t xml:space="preserve">2000000001012</t>
  </si>
  <si>
    <t xml:space="preserve">P068-1000D</t>
  </si>
  <si>
    <t xml:space="preserve">Fowl Typhoid Vaccine - 1000 doses vial</t>
  </si>
  <si>
    <t xml:space="preserve">2000000001029</t>
  </si>
  <si>
    <t xml:space="preserve">P069-50D</t>
  </si>
  <si>
    <t xml:space="preserve">50 doses vial</t>
  </si>
  <si>
    <t xml:space="preserve">Lumpy Skin Disease Vaccine - 50 doses vial</t>
  </si>
  <si>
    <t xml:space="preserve">2000000001036</t>
  </si>
  <si>
    <t xml:space="preserve">P070-100D</t>
  </si>
  <si>
    <t xml:space="preserve">Anthrax Spore Vaccine - 100 doses vial</t>
  </si>
  <si>
    <t xml:space="preserve">2000000001043</t>
  </si>
  <si>
    <t xml:space="preserve">P071-100D</t>
  </si>
  <si>
    <t xml:space="preserve">PPR Vaccine - 100 doses vial</t>
  </si>
  <si>
    <t xml:space="preserve">2000000001050</t>
  </si>
  <si>
    <t xml:space="preserve">P072-1L</t>
  </si>
  <si>
    <t xml:space="preserve">Farm Disinfectant (Glutaraldehyde + Quat) - 1 L bottle</t>
  </si>
  <si>
    <t xml:space="preserve">2000000001067</t>
  </si>
  <si>
    <t xml:space="preserve">P072-5L</t>
  </si>
  <si>
    <t xml:space="preserve">5 L tin</t>
  </si>
  <si>
    <t xml:space="preserve">Farm Disinfectant (Glutaraldehyde + Quat) - 5 L tin</t>
  </si>
  <si>
    <t xml:space="preserve">2000000001074</t>
  </si>
  <si>
    <t xml:space="preserve">P073-1L</t>
  </si>
  <si>
    <t xml:space="preserve">Povidone Iodine Solution - 1 L bottle</t>
  </si>
  <si>
    <t xml:space="preserve">2000000001081</t>
  </si>
  <si>
    <t xml:space="preserve">P074-100PC</t>
  </si>
  <si>
    <t xml:space="preserve">Box of 100 pcs</t>
  </si>
  <si>
    <t xml:space="preserve">Water Sanitiser Tablets - Box of 100 pcs</t>
  </si>
  <si>
    <t xml:space="preserve">2000000001098</t>
  </si>
  <si>
    <t xml:space="preserve">P075-500G</t>
  </si>
  <si>
    <t xml:space="preserve">Rat Bait Blocks - 500 g pack</t>
  </si>
  <si>
    <t xml:space="preserve">2000000001104</t>
  </si>
  <si>
    <t xml:space="preserve">P076-4L</t>
  </si>
  <si>
    <t xml:space="preserve">4 L piece</t>
  </si>
  <si>
    <t xml:space="preserve">Chick Drinker - 4 L piece</t>
  </si>
  <si>
    <t xml:space="preserve">2000000001111</t>
  </si>
  <si>
    <t xml:space="preserve">P077-10L</t>
  </si>
  <si>
    <t xml:space="preserve">10 L piece</t>
  </si>
  <si>
    <t xml:space="preserve">Poultry Drinker - 10 L piece</t>
  </si>
  <si>
    <t xml:space="preserve">2000000001128</t>
  </si>
  <si>
    <t xml:space="preserve">P078-10KG</t>
  </si>
  <si>
    <t xml:space="preserve">10 kg piece</t>
  </si>
  <si>
    <t xml:space="preserve">Hanging Poultry Feeder - 10 kg piece</t>
  </si>
  <si>
    <t xml:space="preserve">2000000001135</t>
  </si>
  <si>
    <t xml:space="preserve">P079-1PC</t>
  </si>
  <si>
    <t xml:space="preserve">Single piece</t>
  </si>
  <si>
    <t xml:space="preserve">2000000001142</t>
  </si>
  <si>
    <t xml:space="preserve">P080-1PC</t>
  </si>
  <si>
    <t xml:space="preserve">Single set</t>
  </si>
  <si>
    <t xml:space="preserve">2000000001159</t>
  </si>
  <si>
    <t xml:space="preserve">P081-1PC</t>
  </si>
  <si>
    <t xml:space="preserve">2000000001166</t>
  </si>
  <si>
    <t xml:space="preserve">P082-1PC</t>
  </si>
  <si>
    <t xml:space="preserve">2000000001173</t>
  </si>
  <si>
    <t xml:space="preserve">P083-1PC</t>
  </si>
  <si>
    <t xml:space="preserve">2000000001180</t>
  </si>
  <si>
    <t xml:space="preserve">P084-1PC</t>
  </si>
  <si>
    <t xml:space="preserve">2000000001197</t>
  </si>
  <si>
    <t xml:space="preserve">P085-1PC</t>
  </si>
  <si>
    <t xml:space="preserve">2000000001203</t>
  </si>
  <si>
    <t xml:space="preserve">P086-1PC</t>
  </si>
  <si>
    <t xml:space="preserve">2000000001210</t>
  </si>
  <si>
    <t xml:space="preserve">P087-1PC</t>
  </si>
  <si>
    <t xml:space="preserve">2000000001227</t>
  </si>
  <si>
    <t xml:space="preserve">P088-100PC</t>
  </si>
  <si>
    <t xml:space="preserve">Pack of 100 pcs</t>
  </si>
  <si>
    <t xml:space="preserve">Egg Trays (30-egg) - Pack of 100 pcs</t>
  </si>
  <si>
    <t xml:space="preserve">2000000001234</t>
  </si>
  <si>
    <t xml:space="preserve">P089-1PC</t>
  </si>
  <si>
    <t xml:space="preserve">2000000001241</t>
  </si>
  <si>
    <t xml:space="preserve">P090-100PC</t>
  </si>
  <si>
    <t xml:space="preserve">Disposable Syringes 10 ml - Box of 100 pcs</t>
  </si>
  <si>
    <t xml:space="preserve">2000000001258</t>
  </si>
  <si>
    <t xml:space="preserve">P091-1PC</t>
  </si>
  <si>
    <t xml:space="preserve">2000000001265</t>
  </si>
  <si>
    <t xml:space="preserve">P092-1PC</t>
  </si>
  <si>
    <t xml:space="preserve">2000000001272</t>
  </si>
  <si>
    <t xml:space="preserve">P093-20L</t>
  </si>
  <si>
    <t xml:space="preserve">20 L piece</t>
  </si>
  <si>
    <t xml:space="preserve">Aluminium Milk Can 20 L - 20 L piece</t>
  </si>
  <si>
    <t xml:space="preserve">2000000001289</t>
  </si>
  <si>
    <t xml:space="preserve">P094-1PC</t>
  </si>
  <si>
    <t xml:space="preserve">2000000001296</t>
  </si>
  <si>
    <t xml:space="preserve">P095-1B</t>
  </si>
  <si>
    <t xml:space="preserve">Per chick</t>
  </si>
  <si>
    <t xml:space="preserve">Kibo Broiler Day-old Chicks (per chick)</t>
  </si>
  <si>
    <t xml:space="preserve">2000000001302</t>
  </si>
  <si>
    <t xml:space="preserve">P096-1B</t>
  </si>
  <si>
    <t xml:space="preserve">Harsho Broiler Day-old Chicks (per chick)</t>
  </si>
  <si>
    <t xml:space="preserve">2000000001319</t>
  </si>
  <si>
    <t xml:space="preserve">P097-1B</t>
  </si>
  <si>
    <t xml:space="preserve">Backbone Broiler Day-old Chicks (per chick)</t>
  </si>
  <si>
    <t xml:space="preserve">2000000001326</t>
  </si>
  <si>
    <t xml:space="preserve">P098-1B</t>
  </si>
  <si>
    <t xml:space="preserve">Irvines Broiler Day-old Chicks (per chick)</t>
  </si>
  <si>
    <t xml:space="preserve">2000000001333</t>
  </si>
  <si>
    <t xml:space="preserve">P099-1B</t>
  </si>
  <si>
    <t xml:space="preserve">Organia Broiler Day-old Chicks (per chick)</t>
  </si>
  <si>
    <t xml:space="preserve">2000000001340</t>
  </si>
  <si>
    <t xml:space="preserve">P100-1B</t>
  </si>
  <si>
    <t xml:space="preserve">Happy Chicks Broiler Day-old Chicks (per chick)</t>
  </si>
  <si>
    <t xml:space="preserve">2000000001357</t>
  </si>
  <si>
    <t xml:space="preserve">P101-1B</t>
  </si>
  <si>
    <t xml:space="preserve">Central Chicks (Animal Care) Broiler Day-old Chicks (per chick)</t>
  </si>
  <si>
    <t xml:space="preserve">2000000001364</t>
  </si>
  <si>
    <t xml:space="preserve">P102-1B</t>
  </si>
  <si>
    <t xml:space="preserve">Tanzania Poultry Farms Broiler Day-old Chicks (per chick)</t>
  </si>
  <si>
    <t xml:space="preserve">2000000001371</t>
  </si>
  <si>
    <t xml:space="preserve">P103-1B</t>
  </si>
  <si>
    <t xml:space="preserve">Tanzania Poultry Farms Layer Day-old Chicks (per chick)</t>
  </si>
  <si>
    <t xml:space="preserve">2000000001388</t>
  </si>
  <si>
    <t xml:space="preserve">P104-1B</t>
  </si>
  <si>
    <t xml:space="preserve">Mkuza Chicks Broiler Day-old Chicks (per chick)</t>
  </si>
  <si>
    <t xml:space="preserve">2000000001395</t>
  </si>
  <si>
    <t xml:space="preserve">P105-1B</t>
  </si>
  <si>
    <t xml:space="preserve">Mkuza Chicks Layer Day-old Chicks (per chick)</t>
  </si>
  <si>
    <t xml:space="preserve">2000000001401</t>
  </si>
  <si>
    <t xml:space="preserve">P106-1B</t>
  </si>
  <si>
    <t xml:space="preserve">Interchick Broiler Day-old Chicks (per chick)</t>
  </si>
  <si>
    <t xml:space="preserve">2000000001418</t>
  </si>
  <si>
    <t xml:space="preserve">P107-1B</t>
  </si>
  <si>
    <t xml:space="preserve">Interchick Layer Day-old Chicks (per chick)</t>
  </si>
  <si>
    <t xml:space="preserve">2000000001425</t>
  </si>
  <si>
    <t xml:space="preserve">P108-1B</t>
  </si>
  <si>
    <t xml:space="preserve">Interchick Tanbro Day-old Chicks (per chick)</t>
  </si>
  <si>
    <t xml:space="preserve">2000000001432</t>
  </si>
  <si>
    <t xml:space="preserve">P109-1B</t>
  </si>
  <si>
    <t xml:space="preserve">Silverlands Broiler Day-old Chicks (per chick)</t>
  </si>
  <si>
    <t xml:space="preserve">2000000001449</t>
  </si>
  <si>
    <t xml:space="preserve">P110-1B</t>
  </si>
  <si>
    <t xml:space="preserve">Silverlands Layer Day-old Chicks (per chick)</t>
  </si>
  <si>
    <t xml:space="preserve">2000000001456</t>
  </si>
  <si>
    <t xml:space="preserve">P111-1B</t>
  </si>
  <si>
    <t xml:space="preserve">Silverlands Sasso Day-old Chicks (per chick)</t>
  </si>
  <si>
    <t xml:space="preserve">2000000001463</t>
  </si>
  <si>
    <t xml:space="preserve">P112-1B</t>
  </si>
  <si>
    <t xml:space="preserve">Per bird</t>
  </si>
  <si>
    <t xml:space="preserve">Point-of-Lay Pullets (per bird)</t>
  </si>
  <si>
    <t xml:space="preserve">2000000001470</t>
  </si>
  <si>
    <t xml:space="preserve">P113-1H</t>
  </si>
  <si>
    <t xml:space="preserve">Per head</t>
  </si>
  <si>
    <t xml:space="preserve">Weaner Piglets (per head)</t>
  </si>
  <si>
    <t xml:space="preserve">2000000001487</t>
  </si>
  <si>
    <t xml:space="preserve">P114-100PC</t>
  </si>
  <si>
    <t xml:space="preserve">Tilapia Fingerlings (Mono-sex) - Pack of 100 pcs</t>
  </si>
  <si>
    <t xml:space="preserve">2000000001494</t>
  </si>
  <si>
    <t xml:space="preserve">P115-1S</t>
  </si>
  <si>
    <t xml:space="preserve">Per straw</t>
  </si>
  <si>
    <t xml:space="preserve">Friesian Dairy Semen (per straw)</t>
  </si>
  <si>
    <t xml:space="preserve">2000000001500</t>
  </si>
  <si>
    <t xml:space="preserve">inventory_id</t>
  </si>
  <si>
    <t xml:space="preserve">stock_value_cost_tzs</t>
  </si>
  <si>
    <t xml:space="preserve">stock_value_selling_tzs</t>
  </si>
  <si>
    <t xml:space="preserve">margin_pct</t>
  </si>
  <si>
    <t xml:space="preserve">days_to_expiry</t>
  </si>
  <si>
    <t xml:space="preserve">stock_status</t>
  </si>
  <si>
    <t xml:space="preserve">expiry_status</t>
  </si>
  <si>
    <t xml:space="preserve">test_scenario</t>
  </si>
  <si>
    <t xml:space="preserve">INV-00001</t>
  </si>
  <si>
    <t xml:space="preserve">TEG-P00125KG-2602</t>
  </si>
  <si>
    <t xml:space="preserve">INV-00002</t>
  </si>
  <si>
    <t xml:space="preserve">TEG-P00150KG-2603</t>
  </si>
  <si>
    <t xml:space="preserve">INV-00003</t>
  </si>
  <si>
    <t xml:space="preserve">TEG-P00225KG-2512</t>
  </si>
  <si>
    <t xml:space="preserve">Out of stock (mirrors live 'Chicken Grower 25KG - 0 bag left')</t>
  </si>
  <si>
    <t xml:space="preserve">INV-00004</t>
  </si>
  <si>
    <t xml:space="preserve">TEG-P00250KG-2603</t>
  </si>
  <si>
    <t xml:space="preserve">INV-00005</t>
  </si>
  <si>
    <t xml:space="preserve">TEG-P00325KG-2603</t>
  </si>
  <si>
    <t xml:space="preserve">INV-00006</t>
  </si>
  <si>
    <t xml:space="preserve">TEG-P00350KG-2512</t>
  </si>
  <si>
    <t xml:space="preserve">INV-00007</t>
  </si>
  <si>
    <t xml:space="preserve">TEG-P00450KG-2602</t>
  </si>
  <si>
    <t xml:space="preserve">INV-00008</t>
  </si>
  <si>
    <t xml:space="preserve">TEG-P00525KG-2601</t>
  </si>
  <si>
    <t xml:space="preserve">INV-00009</t>
  </si>
  <si>
    <t xml:space="preserve">TEG-P00550KG-2602</t>
  </si>
  <si>
    <t xml:space="preserve">INV-00010</t>
  </si>
  <si>
    <t xml:space="preserve">TEG-P00625KG-2601</t>
  </si>
  <si>
    <t xml:space="preserve">INV-00011</t>
  </si>
  <si>
    <t xml:space="preserve">TEG-P00650KG-2512</t>
  </si>
  <si>
    <t xml:space="preserve">INV-00012</t>
  </si>
  <si>
    <t xml:space="preserve">TEG-P00750KG-2601</t>
  </si>
  <si>
    <t xml:space="preserve">INV-00013</t>
  </si>
  <si>
    <t xml:space="preserve">TEG-P00825KG-2512</t>
  </si>
  <si>
    <t xml:space="preserve">INV-00014</t>
  </si>
  <si>
    <t xml:space="preserve">TEG-P00950KG-2601</t>
  </si>
  <si>
    <t xml:space="preserve">INV-00015</t>
  </si>
  <si>
    <t xml:space="preserve">TEG-P01050KG-2601</t>
  </si>
  <si>
    <t xml:space="preserve">INV-00016</t>
  </si>
  <si>
    <t xml:space="preserve">TEG-P01150KG-2601</t>
  </si>
  <si>
    <t xml:space="preserve">INV-00017</t>
  </si>
  <si>
    <t xml:space="preserve">TEG-P01170KG-2602</t>
  </si>
  <si>
    <t xml:space="preserve">INV-00018</t>
  </si>
  <si>
    <t xml:space="preserve">TEG-P01225KG-2603</t>
  </si>
  <si>
    <t xml:space="preserve">INV-00019</t>
  </si>
  <si>
    <t xml:space="preserve">TEG-P01350KG-2601</t>
  </si>
  <si>
    <t xml:space="preserve">INV-00020</t>
  </si>
  <si>
    <t xml:space="preserve">TEG-P01425KG-2511</t>
  </si>
  <si>
    <t xml:space="preserve">INV-00021</t>
  </si>
  <si>
    <t xml:space="preserve">TEG-P01525KG-2512</t>
  </si>
  <si>
    <t xml:space="preserve">INV-00022</t>
  </si>
  <si>
    <t xml:space="preserve">TEG-P01625KG-2512</t>
  </si>
  <si>
    <t xml:space="preserve">INV-00023</t>
  </si>
  <si>
    <t xml:space="preserve">TEG-P01725KG-2603</t>
  </si>
  <si>
    <t xml:space="preserve">INV-00024</t>
  </si>
  <si>
    <t xml:space="preserve">TEG-P01825KG-2601</t>
  </si>
  <si>
    <t xml:space="preserve">INV-00025</t>
  </si>
  <si>
    <t xml:space="preserve">TEG-P01850KG-2603</t>
  </si>
  <si>
    <t xml:space="preserve">Low stock</t>
  </si>
  <si>
    <t xml:space="preserve">INV-00026</t>
  </si>
  <si>
    <t xml:space="preserve">TEG-P01950KG-2512</t>
  </si>
  <si>
    <t xml:space="preserve">INV-00027</t>
  </si>
  <si>
    <t xml:space="preserve">TEG-P02050KG-2603</t>
  </si>
  <si>
    <t xml:space="preserve">INV-00028</t>
  </si>
  <si>
    <t xml:space="preserve">TEG-P02150KG-2603</t>
  </si>
  <si>
    <t xml:space="preserve">INV-00029</t>
  </si>
  <si>
    <t xml:space="preserve">TEG-P0225KG-2609</t>
  </si>
  <si>
    <t xml:space="preserve">INV-00030</t>
  </si>
  <si>
    <t xml:space="preserve">TEG-P0231KG-2608</t>
  </si>
  <si>
    <t xml:space="preserve">INV-00031</t>
  </si>
  <si>
    <t xml:space="preserve">TEG-P0235KG-2607</t>
  </si>
  <si>
    <t xml:space="preserve">INV-00032</t>
  </si>
  <si>
    <t xml:space="preserve">TEG-P0241KG-2604</t>
  </si>
  <si>
    <t xml:space="preserve">INV-00033</t>
  </si>
  <si>
    <t xml:space="preserve">TEG-P0245KG-2603</t>
  </si>
  <si>
    <t xml:space="preserve">INV-00034</t>
  </si>
  <si>
    <t xml:space="preserve">TEG-P02550KG-2603</t>
  </si>
  <si>
    <t xml:space="preserve">INV-00035</t>
  </si>
  <si>
    <t xml:space="preserve">TEG-P02650KG-2602</t>
  </si>
  <si>
    <t xml:space="preserve">INV-00036</t>
  </si>
  <si>
    <t xml:space="preserve">TEG-P02750KG-2601</t>
  </si>
  <si>
    <t xml:space="preserve">INV-00037</t>
  </si>
  <si>
    <t xml:space="preserve">TEG-P02825KG-2512</t>
  </si>
  <si>
    <t xml:space="preserve">INV-00038</t>
  </si>
  <si>
    <t xml:space="preserve">TEG-P02850KG-2512</t>
  </si>
  <si>
    <t xml:space="preserve">INV-00039</t>
  </si>
  <si>
    <t xml:space="preserve">TEG-P02950KG-2604</t>
  </si>
  <si>
    <t xml:space="preserve">INV-00040</t>
  </si>
  <si>
    <t xml:space="preserve">TEG-P03025KG-2601</t>
  </si>
  <si>
    <t xml:space="preserve">INV-00041</t>
  </si>
  <si>
    <t xml:space="preserve">TEG-P03150KG-2605</t>
  </si>
  <si>
    <t xml:space="preserve">INV-00042</t>
  </si>
  <si>
    <t xml:space="preserve">TEG-P034100G-2607</t>
  </si>
  <si>
    <t xml:space="preserve">Expiring within 30 days</t>
  </si>
  <si>
    <t xml:space="preserve">INV-00043</t>
  </si>
  <si>
    <t xml:space="preserve">TEG-P034250G-2610</t>
  </si>
  <si>
    <t xml:space="preserve">INV-00044</t>
  </si>
  <si>
    <t xml:space="preserve">TEG-P03430G-2703</t>
  </si>
  <si>
    <t xml:space="preserve">INV-00045</t>
  </si>
  <si>
    <t xml:space="preserve">TEG-P035100G-2603</t>
  </si>
  <si>
    <t xml:space="preserve">Same SKU priced differently across stores - test 'compare sellers/stores'</t>
  </si>
  <si>
    <t xml:space="preserve">INV-00046</t>
  </si>
  <si>
    <t xml:space="preserve">TEG-P035250G-2606</t>
  </si>
  <si>
    <t xml:space="preserve">INV-00047</t>
  </si>
  <si>
    <t xml:space="preserve">TEG-P03530G-2610</t>
  </si>
  <si>
    <t xml:space="preserve">INV-00048</t>
  </si>
  <si>
    <t xml:space="preserve">TEG-P036100G-2701</t>
  </si>
  <si>
    <t xml:space="preserve">INV-00049</t>
  </si>
  <si>
    <t xml:space="preserve">TEG-P0361KG-2604</t>
  </si>
  <si>
    <t xml:space="preserve">INV-00050</t>
  </si>
  <si>
    <t xml:space="preserve">TEG-P037100ML-2604</t>
  </si>
  <si>
    <t xml:space="preserve">INV-00051</t>
  </si>
  <si>
    <t xml:space="preserve">TEG-P0381L-2607</t>
  </si>
  <si>
    <t xml:space="preserve">INV-00052</t>
  </si>
  <si>
    <t xml:space="preserve">TEG-P038500ML-2709</t>
  </si>
  <si>
    <t xml:space="preserve">INV-00053</t>
  </si>
  <si>
    <t xml:space="preserve">TEG-P039100G-2703</t>
  </si>
  <si>
    <t xml:space="preserve">INV-00054</t>
  </si>
  <si>
    <t xml:space="preserve">TEG-P039250G-2704</t>
  </si>
  <si>
    <t xml:space="preserve">INV-00055</t>
  </si>
  <si>
    <t xml:space="preserve">TEG-P03930G-2604</t>
  </si>
  <si>
    <t xml:space="preserve">INV-00056</t>
  </si>
  <si>
    <t xml:space="preserve">TEG-P040100G-2608</t>
  </si>
  <si>
    <t xml:space="preserve">INV-00057</t>
  </si>
  <si>
    <t xml:space="preserve">TEG-P0412KG-2607</t>
  </si>
  <si>
    <t xml:space="preserve">INV-00058</t>
  </si>
  <si>
    <t xml:space="preserve">TEG-P0425KG-2702</t>
  </si>
  <si>
    <t xml:space="preserve">INV-00059</t>
  </si>
  <si>
    <t xml:space="preserve">TEG-P04320KG-2609</t>
  </si>
  <si>
    <t xml:space="preserve">INV-00060</t>
  </si>
  <si>
    <t xml:space="preserve">TEG-P0432KG-2703</t>
  </si>
  <si>
    <t xml:space="preserve">INV-00061</t>
  </si>
  <si>
    <t xml:space="preserve">TEG-P044100G-2608</t>
  </si>
  <si>
    <t xml:space="preserve">INV-00062</t>
  </si>
  <si>
    <t xml:space="preserve">TEG-P044500G-2604</t>
  </si>
  <si>
    <t xml:space="preserve">INV-00063</t>
  </si>
  <si>
    <t xml:space="preserve">TEG-P0451KG-2709</t>
  </si>
  <si>
    <t xml:space="preserve">INV-00064</t>
  </si>
  <si>
    <t xml:space="preserve">TEG-P0461KG-2608</t>
  </si>
  <si>
    <t xml:space="preserve">INV-00065</t>
  </si>
  <si>
    <t xml:space="preserve">TEG-P04625KG-2612</t>
  </si>
  <si>
    <t xml:space="preserve">INV-00066</t>
  </si>
  <si>
    <t xml:space="preserve">TEG-P0471L-2605</t>
  </si>
  <si>
    <t xml:space="preserve">INV-00067</t>
  </si>
  <si>
    <t xml:space="preserve">TEG-P047500ML-2609</t>
  </si>
  <si>
    <t xml:space="preserve">INV-00068</t>
  </si>
  <si>
    <t xml:space="preserve">TEG-P048100ML-2704</t>
  </si>
  <si>
    <t xml:space="preserve">INV-00069</t>
  </si>
  <si>
    <t xml:space="preserve">TEG-P04850ML-2703</t>
  </si>
  <si>
    <t xml:space="preserve">INV-00070</t>
  </si>
  <si>
    <t xml:space="preserve">TEG-P049100G-2701</t>
  </si>
  <si>
    <t xml:space="preserve">INV-00071</t>
  </si>
  <si>
    <t xml:space="preserve">TEG-P050100G-2712</t>
  </si>
  <si>
    <t xml:space="preserve">INV-00072</t>
  </si>
  <si>
    <t xml:space="preserve">TEG-P051100ML-2703</t>
  </si>
  <si>
    <t xml:space="preserve">INV-00073</t>
  </si>
  <si>
    <t xml:space="preserve">TEG-P0521L-2611</t>
  </si>
  <si>
    <t xml:space="preserve">INV-00074</t>
  </si>
  <si>
    <t xml:space="preserve">TEG-P052500ML-2707</t>
  </si>
  <si>
    <t xml:space="preserve">INV-00075</t>
  </si>
  <si>
    <t xml:space="preserve">TEG-P053100G-2708</t>
  </si>
  <si>
    <t xml:space="preserve">INV-00076</t>
  </si>
  <si>
    <t xml:space="preserve">TEG-P054500ML-2611</t>
  </si>
  <si>
    <t xml:space="preserve">INV-00077</t>
  </si>
  <si>
    <t xml:space="preserve">TEG-P055100ML-2607</t>
  </si>
  <si>
    <t xml:space="preserve">INV-00078</t>
  </si>
  <si>
    <t xml:space="preserve">TEG-P05550ML-2608</t>
  </si>
  <si>
    <t xml:space="preserve">INV-00079</t>
  </si>
  <si>
    <t xml:space="preserve">TEG-P0561KG-2605</t>
  </si>
  <si>
    <t xml:space="preserve">INV-00080</t>
  </si>
  <si>
    <t xml:space="preserve">TEG-P057100ML-2610</t>
  </si>
  <si>
    <t xml:space="preserve">INV-00081</t>
  </si>
  <si>
    <t xml:space="preserve">TEG-P0571L-2705</t>
  </si>
  <si>
    <t xml:space="preserve">INV-00082</t>
  </si>
  <si>
    <t xml:space="preserve">TEG-P0581L-2606</t>
  </si>
  <si>
    <t xml:space="preserve">INV-00083</t>
  </si>
  <si>
    <t xml:space="preserve">TEG-P058250ML-2705</t>
  </si>
  <si>
    <t xml:space="preserve">INV-00084</t>
  </si>
  <si>
    <t xml:space="preserve">TEG-P059500ML-2608</t>
  </si>
  <si>
    <t xml:space="preserve">INV-00085</t>
  </si>
  <si>
    <t xml:space="preserve">TEG-P060500G-2711</t>
  </si>
  <si>
    <t xml:space="preserve">INV-00086</t>
  </si>
  <si>
    <t xml:space="preserve">TEG-P061200ML-2606</t>
  </si>
  <si>
    <t xml:space="preserve">INV-00087</t>
  </si>
  <si>
    <t xml:space="preserve">TEG-P062400ML-2609</t>
  </si>
  <si>
    <t xml:space="preserve">INV-00088</t>
  </si>
  <si>
    <t xml:space="preserve">TEG-P0631000D-2608</t>
  </si>
  <si>
    <t xml:space="preserve">INV-00089</t>
  </si>
  <si>
    <t xml:space="preserve">TEG-P063100D-2512</t>
  </si>
  <si>
    <t xml:space="preserve">INV-00090</t>
  </si>
  <si>
    <t xml:space="preserve">TEG-P063500D-2601</t>
  </si>
  <si>
    <t xml:space="preserve">INV-00091</t>
  </si>
  <si>
    <t xml:space="preserve">TEG-P064100D-2607</t>
  </si>
  <si>
    <t xml:space="preserve">INV-00092</t>
  </si>
  <si>
    <t xml:space="preserve">TEG-P064200D-2601</t>
  </si>
  <si>
    <t xml:space="preserve">INV-00093</t>
  </si>
  <si>
    <t xml:space="preserve">TEG-P0651000D-2512</t>
  </si>
  <si>
    <t xml:space="preserve">INV-00094</t>
  </si>
  <si>
    <t xml:space="preserve">TEG-P065500D-2512</t>
  </si>
  <si>
    <t xml:space="preserve">INV-00095</t>
  </si>
  <si>
    <t xml:space="preserve">TEG-P0661000D-2601</t>
  </si>
  <si>
    <t xml:space="preserve">INV-00096</t>
  </si>
  <si>
    <t xml:space="preserve">TEG-P0671000D-2605</t>
  </si>
  <si>
    <t xml:space="preserve">INV-00097</t>
  </si>
  <si>
    <t xml:space="preserve">TEG-P0681000D-2603</t>
  </si>
  <si>
    <t xml:space="preserve">INV-00098</t>
  </si>
  <si>
    <t xml:space="preserve">TEG-P06950D-2610</t>
  </si>
  <si>
    <t xml:space="preserve">INV-00099</t>
  </si>
  <si>
    <t xml:space="preserve">TEG-P070100D-2606</t>
  </si>
  <si>
    <t xml:space="preserve">INV-00100</t>
  </si>
  <si>
    <t xml:space="preserve">TEG-P071100D-2604</t>
  </si>
  <si>
    <t xml:space="preserve">INV-00101</t>
  </si>
  <si>
    <t xml:space="preserve">TEG-P0721L-2610</t>
  </si>
  <si>
    <t xml:space="preserve">INV-00102</t>
  </si>
  <si>
    <t xml:space="preserve">TEG-P0725L-2710</t>
  </si>
  <si>
    <t xml:space="preserve">INV-00103</t>
  </si>
  <si>
    <t xml:space="preserve">TEG-P0731L-2610</t>
  </si>
  <si>
    <t xml:space="preserve">INV-00104</t>
  </si>
  <si>
    <t xml:space="preserve">TEG-P074100PC-2608</t>
  </si>
  <si>
    <t xml:space="preserve">INV-00105</t>
  </si>
  <si>
    <t xml:space="preserve">TEG-P075500G-2704</t>
  </si>
  <si>
    <t xml:space="preserve">INV-00106</t>
  </si>
  <si>
    <t xml:space="preserve">INV-00107</t>
  </si>
  <si>
    <t xml:space="preserve">INV-00108</t>
  </si>
  <si>
    <t xml:space="preserve">INV-00109</t>
  </si>
  <si>
    <t xml:space="preserve">INV-00110</t>
  </si>
  <si>
    <t xml:space="preserve">INV-00111</t>
  </si>
  <si>
    <t xml:space="preserve">INV-00112</t>
  </si>
  <si>
    <t xml:space="preserve">INV-00113</t>
  </si>
  <si>
    <t xml:space="preserve">INV-00114</t>
  </si>
  <si>
    <t xml:space="preserve">INV-00115</t>
  </si>
  <si>
    <t xml:space="preserve">INV-00116</t>
  </si>
  <si>
    <t xml:space="preserve">INV-00117</t>
  </si>
  <si>
    <t xml:space="preserve">INV-00118</t>
  </si>
  <si>
    <t xml:space="preserve">INV-00119</t>
  </si>
  <si>
    <t xml:space="preserve">INV-00120</t>
  </si>
  <si>
    <t xml:space="preserve">INV-00121</t>
  </si>
  <si>
    <t xml:space="preserve">INV-00122</t>
  </si>
  <si>
    <t xml:space="preserve">INV-00123</t>
  </si>
  <si>
    <t xml:space="preserve">INV-00124</t>
  </si>
  <si>
    <t xml:space="preserve">INV-00125</t>
  </si>
  <si>
    <t xml:space="preserve">INV-00126</t>
  </si>
  <si>
    <t xml:space="preserve">PST-P0221KG-2606</t>
  </si>
  <si>
    <t xml:space="preserve">INV-00127</t>
  </si>
  <si>
    <t xml:space="preserve">PST-P0241KG-2607</t>
  </si>
  <si>
    <t xml:space="preserve">INV-00128</t>
  </si>
  <si>
    <t xml:space="preserve">PST-P034100G-2609</t>
  </si>
  <si>
    <t xml:space="preserve">INV-00129</t>
  </si>
  <si>
    <t xml:space="preserve">PST-P034250G-2705</t>
  </si>
  <si>
    <t xml:space="preserve">INV-00130</t>
  </si>
  <si>
    <t xml:space="preserve">PST-P03430G-2611</t>
  </si>
  <si>
    <t xml:space="preserve">INV-00131</t>
  </si>
  <si>
    <t xml:space="preserve">PST-P035100G-2605</t>
  </si>
  <si>
    <t xml:space="preserve">INV-00132</t>
  </si>
  <si>
    <t xml:space="preserve">PST-P035250G-2607</t>
  </si>
  <si>
    <t xml:space="preserve">INV-00133</t>
  </si>
  <si>
    <t xml:space="preserve">PST-P03530G-2704</t>
  </si>
  <si>
    <t xml:space="preserve">INV-00134</t>
  </si>
  <si>
    <t xml:space="preserve">PST-P036100G-2706</t>
  </si>
  <si>
    <t xml:space="preserve">INV-00135</t>
  </si>
  <si>
    <t xml:space="preserve">PST-P0361KG-2607</t>
  </si>
  <si>
    <t xml:space="preserve">INV-00136</t>
  </si>
  <si>
    <t xml:space="preserve">PST-P037100ML-2701</t>
  </si>
  <si>
    <t xml:space="preserve">INV-00137</t>
  </si>
  <si>
    <t xml:space="preserve">PST-P0381L-2706</t>
  </si>
  <si>
    <t xml:space="preserve">INV-00138</t>
  </si>
  <si>
    <t xml:space="preserve">PST-P038500ML-2703</t>
  </si>
  <si>
    <t xml:space="preserve">INV-00139</t>
  </si>
  <si>
    <t xml:space="preserve">PST-P039100G-2708</t>
  </si>
  <si>
    <t xml:space="preserve">INV-00140</t>
  </si>
  <si>
    <t xml:space="preserve">PST-P039250G-2701</t>
  </si>
  <si>
    <t xml:space="preserve">Out of stock</t>
  </si>
  <si>
    <t xml:space="preserve">INV-00141</t>
  </si>
  <si>
    <t xml:space="preserve">PST-P03930G-2609</t>
  </si>
  <si>
    <t xml:space="preserve">INV-00142</t>
  </si>
  <si>
    <t xml:space="preserve">PST-P040100G-2708</t>
  </si>
  <si>
    <t xml:space="preserve">INV-00143</t>
  </si>
  <si>
    <t xml:space="preserve">PST-P0412KG-2609</t>
  </si>
  <si>
    <t xml:space="preserve">INV-00144</t>
  </si>
  <si>
    <t xml:space="preserve">PST-P04320KG-2701</t>
  </si>
  <si>
    <t xml:space="preserve">INV-00145</t>
  </si>
  <si>
    <t xml:space="preserve">PST-P0432KG-2701</t>
  </si>
  <si>
    <t xml:space="preserve">INV-00146</t>
  </si>
  <si>
    <t xml:space="preserve">PST-P044100G-2701</t>
  </si>
  <si>
    <t xml:space="preserve">INV-00147</t>
  </si>
  <si>
    <t xml:space="preserve">PST-P044500G-2607</t>
  </si>
  <si>
    <t xml:space="preserve">INV-00148</t>
  </si>
  <si>
    <t xml:space="preserve">PST-P0451KG-2608</t>
  </si>
  <si>
    <t xml:space="preserve">INV-00149</t>
  </si>
  <si>
    <t xml:space="preserve">PST-P0461KG-2612</t>
  </si>
  <si>
    <t xml:space="preserve">INV-00150</t>
  </si>
  <si>
    <t xml:space="preserve">PST-P04625KG-2708</t>
  </si>
  <si>
    <t xml:space="preserve">INV-00151</t>
  </si>
  <si>
    <t xml:space="preserve">PST-P0471L-2606</t>
  </si>
  <si>
    <t xml:space="preserve">INV-00152</t>
  </si>
  <si>
    <t xml:space="preserve">PST-P047500ML-2609</t>
  </si>
  <si>
    <t xml:space="preserve">INV-00153</t>
  </si>
  <si>
    <t xml:space="preserve">PST-P048100ML-2601</t>
  </si>
  <si>
    <t xml:space="preserve">Prescription item listed online - test Rx checkout</t>
  </si>
  <si>
    <t xml:space="preserve">INV-00154</t>
  </si>
  <si>
    <t xml:space="preserve">PST-P04850ML-2709</t>
  </si>
  <si>
    <t xml:space="preserve">INV-00155</t>
  </si>
  <si>
    <t xml:space="preserve">PST-P049100G-2605</t>
  </si>
  <si>
    <t xml:space="preserve">INV-00156</t>
  </si>
  <si>
    <t xml:space="preserve">PST-P051100ML-2604</t>
  </si>
  <si>
    <t xml:space="preserve">INV-00157</t>
  </si>
  <si>
    <t xml:space="preserve">PST-P0521L-2702</t>
  </si>
  <si>
    <t xml:space="preserve">INV-00158</t>
  </si>
  <si>
    <t xml:space="preserve">PST-P052500ML-2706</t>
  </si>
  <si>
    <t xml:space="preserve">INV-00159</t>
  </si>
  <si>
    <t xml:space="preserve">PST-P053100G-2703</t>
  </si>
  <si>
    <t xml:space="preserve">INV-00160</t>
  </si>
  <si>
    <t xml:space="preserve">PST-P054500ML-2701</t>
  </si>
  <si>
    <t xml:space="preserve">INV-00161</t>
  </si>
  <si>
    <t xml:space="preserve">PST-P055100ML-2702</t>
  </si>
  <si>
    <t xml:space="preserve">INV-00162</t>
  </si>
  <si>
    <t xml:space="preserve">PST-P05550ML-2706</t>
  </si>
  <si>
    <t xml:space="preserve">INV-00163</t>
  </si>
  <si>
    <t xml:space="preserve">PST-P056100G-2701</t>
  </si>
  <si>
    <t xml:space="preserve">INV-00164</t>
  </si>
  <si>
    <t xml:space="preserve">PST-P0561KG-2612</t>
  </si>
  <si>
    <t xml:space="preserve">INV-00165</t>
  </si>
  <si>
    <t xml:space="preserve">PST-P057100ML-2611</t>
  </si>
  <si>
    <t xml:space="preserve">INV-00166</t>
  </si>
  <si>
    <t xml:space="preserve">PST-P0571L-2610</t>
  </si>
  <si>
    <t xml:space="preserve">INV-00167</t>
  </si>
  <si>
    <t xml:space="preserve">PST-P0581L-2712</t>
  </si>
  <si>
    <t xml:space="preserve">INV-00168</t>
  </si>
  <si>
    <t xml:space="preserve">PST-P058250ML-2702</t>
  </si>
  <si>
    <t xml:space="preserve">INV-00169</t>
  </si>
  <si>
    <t xml:space="preserve">PST-P059500ML-2701</t>
  </si>
  <si>
    <t xml:space="preserve">INV-00170</t>
  </si>
  <si>
    <t xml:space="preserve">PST-P060500G-2705</t>
  </si>
  <si>
    <t xml:space="preserve">INV-00171</t>
  </si>
  <si>
    <t xml:space="preserve">PST-P061200ML-2705</t>
  </si>
  <si>
    <t xml:space="preserve">INV-00172</t>
  </si>
  <si>
    <t xml:space="preserve">PST-P062400ML-2701</t>
  </si>
  <si>
    <t xml:space="preserve">INV-00173</t>
  </si>
  <si>
    <t xml:space="preserve">PST-P0631000D-2512</t>
  </si>
  <si>
    <t xml:space="preserve">INV-00174</t>
  </si>
  <si>
    <t xml:space="preserve">PST-P063100D-2605</t>
  </si>
  <si>
    <t xml:space="preserve">INV-00175</t>
  </si>
  <si>
    <t xml:space="preserve">PST-P063500D-2602</t>
  </si>
  <si>
    <t xml:space="preserve">INV-00176</t>
  </si>
  <si>
    <t xml:space="preserve">PST-P064100D-2604</t>
  </si>
  <si>
    <t xml:space="preserve">INV-00177</t>
  </si>
  <si>
    <t xml:space="preserve">PST-P0651000D-2605</t>
  </si>
  <si>
    <t xml:space="preserve">INV-00178</t>
  </si>
  <si>
    <t xml:space="preserve">PST-P065500D-2601</t>
  </si>
  <si>
    <t xml:space="preserve">Low stock (cold chain)</t>
  </si>
  <si>
    <t xml:space="preserve">INV-00179</t>
  </si>
  <si>
    <t xml:space="preserve">PST-P0661000D-2607</t>
  </si>
  <si>
    <t xml:space="preserve">INV-00180</t>
  </si>
  <si>
    <t xml:space="preserve">PST-P066100D-2608</t>
  </si>
  <si>
    <t xml:space="preserve">INV-00181</t>
  </si>
  <si>
    <t xml:space="preserve">PST-P0671000D-2604</t>
  </si>
  <si>
    <t xml:space="preserve">INV-00182</t>
  </si>
  <si>
    <t xml:space="preserve">PST-P0681000D-2602</t>
  </si>
  <si>
    <t xml:space="preserve">INV-00183</t>
  </si>
  <si>
    <t xml:space="preserve">PST-P070100D-2606</t>
  </si>
  <si>
    <t xml:space="preserve">INV-00184</t>
  </si>
  <si>
    <t xml:space="preserve">PST-P071100D-2601</t>
  </si>
  <si>
    <t xml:space="preserve">INV-00185</t>
  </si>
  <si>
    <t xml:space="preserve">PST-P0721L-2803</t>
  </si>
  <si>
    <t xml:space="preserve">INV-00186</t>
  </si>
  <si>
    <t xml:space="preserve">PST-P0731L-2610</t>
  </si>
  <si>
    <t xml:space="preserve">INV-00187</t>
  </si>
  <si>
    <t xml:space="preserve">PST-P074100PC-2707</t>
  </si>
  <si>
    <t xml:space="preserve">INV-00188</t>
  </si>
  <si>
    <t xml:space="preserve">PST-P075500G-2802</t>
  </si>
  <si>
    <t xml:space="preserve">INV-00189</t>
  </si>
  <si>
    <t xml:space="preserve">INV-00190</t>
  </si>
  <si>
    <t xml:space="preserve">INV-00191</t>
  </si>
  <si>
    <t xml:space="preserve">INV-00192</t>
  </si>
  <si>
    <t xml:space="preserve">INV-00193</t>
  </si>
  <si>
    <t xml:space="preserve">INV-00194</t>
  </si>
  <si>
    <t xml:space="preserve">INV-00195</t>
  </si>
  <si>
    <t xml:space="preserve">INV-00196</t>
  </si>
  <si>
    <t xml:space="preserve">INV-00197</t>
  </si>
  <si>
    <t xml:space="preserve">INV-00198</t>
  </si>
  <si>
    <t xml:space="preserve">INV-00199</t>
  </si>
  <si>
    <t xml:space="preserve">MOR-P00150KG-2512</t>
  </si>
  <si>
    <t xml:space="preserve">INV-00200</t>
  </si>
  <si>
    <t xml:space="preserve">MOR-P00250KG-2512</t>
  </si>
  <si>
    <t xml:space="preserve">INV-00201</t>
  </si>
  <si>
    <t xml:space="preserve">MOR-P00325KG-2601</t>
  </si>
  <si>
    <t xml:space="preserve">INV-00202</t>
  </si>
  <si>
    <t xml:space="preserve">MOR-P00450KG-2602</t>
  </si>
  <si>
    <t xml:space="preserve">INV-00203</t>
  </si>
  <si>
    <t xml:space="preserve">MOR-P00525KG-2602</t>
  </si>
  <si>
    <t xml:space="preserve">INV-00204</t>
  </si>
  <si>
    <t xml:space="preserve">MOR-P00550KG-2603</t>
  </si>
  <si>
    <t xml:space="preserve">INV-00205</t>
  </si>
  <si>
    <t xml:space="preserve">MOR-P00650KG-2603</t>
  </si>
  <si>
    <t xml:space="preserve">INV-00206</t>
  </si>
  <si>
    <t xml:space="preserve">MOR-P00750KG-2512</t>
  </si>
  <si>
    <t xml:space="preserve">INV-00207</t>
  </si>
  <si>
    <t xml:space="preserve">MOR-P00825KG-2603</t>
  </si>
  <si>
    <t xml:space="preserve">INV-00208</t>
  </si>
  <si>
    <t xml:space="preserve">MOR-P01050KG-2512</t>
  </si>
  <si>
    <t xml:space="preserve">INV-00209</t>
  </si>
  <si>
    <t xml:space="preserve">MOR-P01170KG-2601</t>
  </si>
  <si>
    <t xml:space="preserve">INV-00210</t>
  </si>
  <si>
    <t xml:space="preserve">MOR-P01225KG-2601</t>
  </si>
  <si>
    <t xml:space="preserve">INV-00211</t>
  </si>
  <si>
    <t xml:space="preserve">MOR-P01725KG-2603</t>
  </si>
  <si>
    <t xml:space="preserve">INV-00212</t>
  </si>
  <si>
    <t xml:space="preserve">MOR-P01825KG-2601</t>
  </si>
  <si>
    <t xml:space="preserve">INV-00213</t>
  </si>
  <si>
    <t xml:space="preserve">MOR-P02050KG-2602</t>
  </si>
  <si>
    <t xml:space="preserve">INV-00214</t>
  </si>
  <si>
    <t xml:space="preserve">MOR-P02150KG-2602</t>
  </si>
  <si>
    <t xml:space="preserve">INV-00215</t>
  </si>
  <si>
    <t xml:space="preserve">MOR-P0221KG-2608</t>
  </si>
  <si>
    <t xml:space="preserve">INV-00216</t>
  </si>
  <si>
    <t xml:space="preserve">MOR-P0225KG-2605</t>
  </si>
  <si>
    <t xml:space="preserve">INV-00217</t>
  </si>
  <si>
    <t xml:space="preserve">MOR-P0231KG-2611</t>
  </si>
  <si>
    <t xml:space="preserve">INV-00218</t>
  </si>
  <si>
    <t xml:space="preserve">MOR-P0235KG-2607</t>
  </si>
  <si>
    <t xml:space="preserve">INV-00219</t>
  </si>
  <si>
    <t xml:space="preserve">MOR-P0241KG-2605</t>
  </si>
  <si>
    <t xml:space="preserve">INV-00220</t>
  </si>
  <si>
    <t xml:space="preserve">MOR-P0245KG-2611</t>
  </si>
  <si>
    <t xml:space="preserve">INV-00221</t>
  </si>
  <si>
    <t xml:space="preserve">MOR-P02550KG-2601</t>
  </si>
  <si>
    <t xml:space="preserve">INV-00222</t>
  </si>
  <si>
    <t xml:space="preserve">MOR-P02650KG-2603</t>
  </si>
  <si>
    <t xml:space="preserve">INV-00223</t>
  </si>
  <si>
    <t xml:space="preserve">MOR-P02750KG-2603</t>
  </si>
  <si>
    <t xml:space="preserve">INV-00224</t>
  </si>
  <si>
    <t xml:space="preserve">MOR-P02825KG-2604</t>
  </si>
  <si>
    <t xml:space="preserve">INV-00225</t>
  </si>
  <si>
    <t xml:space="preserve">MOR-P02850KG-2603</t>
  </si>
  <si>
    <t xml:space="preserve">INV-00226</t>
  </si>
  <si>
    <t xml:space="preserve">MOR-P02950KG-2603</t>
  </si>
  <si>
    <t xml:space="preserve">INV-00227</t>
  </si>
  <si>
    <t xml:space="preserve">MOR-P03150KG-2603</t>
  </si>
  <si>
    <t xml:space="preserve">INV-00228</t>
  </si>
  <si>
    <t xml:space="preserve">MOR-P03215KG-2512</t>
  </si>
  <si>
    <t xml:space="preserve">INV-00229</t>
  </si>
  <si>
    <t xml:space="preserve">MOR-P03350KG-2512</t>
  </si>
  <si>
    <t xml:space="preserve">INV-00230</t>
  </si>
  <si>
    <t xml:space="preserve">MOR-P034100G-2611</t>
  </si>
  <si>
    <t xml:space="preserve">INV-00231</t>
  </si>
  <si>
    <t xml:space="preserve">MOR-P034250G-2610</t>
  </si>
  <si>
    <t xml:space="preserve">INV-00232</t>
  </si>
  <si>
    <t xml:space="preserve">MOR-P03430G-2611</t>
  </si>
  <si>
    <t xml:space="preserve">INV-00233</t>
  </si>
  <si>
    <t xml:space="preserve">MOR-P035100G-2610</t>
  </si>
  <si>
    <t xml:space="preserve">INV-00234</t>
  </si>
  <si>
    <t xml:space="preserve">MOR-P03530G-2705</t>
  </si>
  <si>
    <t xml:space="preserve">INV-00235</t>
  </si>
  <si>
    <t xml:space="preserve">MOR-P036100G-2704</t>
  </si>
  <si>
    <t xml:space="preserve">INV-00236</t>
  </si>
  <si>
    <t xml:space="preserve">MOR-P0361KG-2708</t>
  </si>
  <si>
    <t xml:space="preserve">INV-00237</t>
  </si>
  <si>
    <t xml:space="preserve">MOR-P037100ML-2707</t>
  </si>
  <si>
    <t xml:space="preserve">INV-00238</t>
  </si>
  <si>
    <t xml:space="preserve">MOR-P0381L-2609</t>
  </si>
  <si>
    <t xml:space="preserve">INV-00239</t>
  </si>
  <si>
    <t xml:space="preserve">MOR-P038500ML-2704</t>
  </si>
  <si>
    <t xml:space="preserve">INV-00240</t>
  </si>
  <si>
    <t xml:space="preserve">MOR-P039100G-2706</t>
  </si>
  <si>
    <t xml:space="preserve">INV-00241</t>
  </si>
  <si>
    <t xml:space="preserve">MOR-P039250G-2705</t>
  </si>
  <si>
    <t xml:space="preserve">INV-00242</t>
  </si>
  <si>
    <t xml:space="preserve">MOR-P03930G-2709</t>
  </si>
  <si>
    <t xml:space="preserve">INV-00243</t>
  </si>
  <si>
    <t xml:space="preserve">MOR-P0412KG-2603</t>
  </si>
  <si>
    <t xml:space="preserve">INV-00244</t>
  </si>
  <si>
    <t xml:space="preserve">MOR-P0425KG-2706</t>
  </si>
  <si>
    <t xml:space="preserve">INV-00245</t>
  </si>
  <si>
    <t xml:space="preserve">MOR-P04320KG-2612</t>
  </si>
  <si>
    <t xml:space="preserve">INV-00246</t>
  </si>
  <si>
    <t xml:space="preserve">MOR-P0432KG-2612</t>
  </si>
  <si>
    <t xml:space="preserve">INV-00247</t>
  </si>
  <si>
    <t xml:space="preserve">MOR-P044500G-2603</t>
  </si>
  <si>
    <t xml:space="preserve">INV-00248</t>
  </si>
  <si>
    <t xml:space="preserve">MOR-P0451KG-2708</t>
  </si>
  <si>
    <t xml:space="preserve">INV-00249</t>
  </si>
  <si>
    <t xml:space="preserve">MOR-P0461KG-2708</t>
  </si>
  <si>
    <t xml:space="preserve">INV-00250</t>
  </si>
  <si>
    <t xml:space="preserve">MOR-P04625KG-2607</t>
  </si>
  <si>
    <t xml:space="preserve">INV-00251</t>
  </si>
  <si>
    <t xml:space="preserve">MOR-P0471L-2604</t>
  </si>
  <si>
    <t xml:space="preserve">INV-00252</t>
  </si>
  <si>
    <t xml:space="preserve">MOR-P047500ML-2609</t>
  </si>
  <si>
    <t xml:space="preserve">INV-00253</t>
  </si>
  <si>
    <t xml:space="preserve">MOR-P048100ML-2604</t>
  </si>
  <si>
    <t xml:space="preserve">INV-00254</t>
  </si>
  <si>
    <t xml:space="preserve">MOR-P04850ML-2610</t>
  </si>
  <si>
    <t xml:space="preserve">INV-00255</t>
  </si>
  <si>
    <t xml:space="preserve">MOR-P049100G-2603</t>
  </si>
  <si>
    <t xml:space="preserve">INV-00256</t>
  </si>
  <si>
    <t xml:space="preserve">MOR-P050100G-2603</t>
  </si>
  <si>
    <t xml:space="preserve">INV-00257</t>
  </si>
  <si>
    <t xml:space="preserve">MOR-P051100ML-2605</t>
  </si>
  <si>
    <t xml:space="preserve">INV-00258</t>
  </si>
  <si>
    <t xml:space="preserve">MOR-P0521L-2605</t>
  </si>
  <si>
    <t xml:space="preserve">INV-00259</t>
  </si>
  <si>
    <t xml:space="preserve">MOR-P052500ML-2704</t>
  </si>
  <si>
    <t xml:space="preserve">INV-00260</t>
  </si>
  <si>
    <t xml:space="preserve">MOR-P053100G-2710</t>
  </si>
  <si>
    <t xml:space="preserve">INV-00261</t>
  </si>
  <si>
    <t xml:space="preserve">MOR-P054500ML-2608</t>
  </si>
  <si>
    <t xml:space="preserve">INV-00262</t>
  </si>
  <si>
    <t xml:space="preserve">MOR-P055100ML-2610</t>
  </si>
  <si>
    <t xml:space="preserve">INV-00263</t>
  </si>
  <si>
    <t xml:space="preserve">MOR-P05550ML-2610</t>
  </si>
  <si>
    <t xml:space="preserve">INV-00264</t>
  </si>
  <si>
    <t xml:space="preserve">MOR-P056100G-2604</t>
  </si>
  <si>
    <t xml:space="preserve">INV-00265</t>
  </si>
  <si>
    <t xml:space="preserve">MOR-P057100ML-2610</t>
  </si>
  <si>
    <t xml:space="preserve">INV-00266</t>
  </si>
  <si>
    <t xml:space="preserve">MOR-P0571L-2606</t>
  </si>
  <si>
    <t xml:space="preserve">INV-00267</t>
  </si>
  <si>
    <t xml:space="preserve">MOR-P0581L-2702</t>
  </si>
  <si>
    <t xml:space="preserve">INV-00268</t>
  </si>
  <si>
    <t xml:space="preserve">MOR-P058250ML-2709</t>
  </si>
  <si>
    <t xml:space="preserve">INV-00269</t>
  </si>
  <si>
    <t xml:space="preserve">MOR-P059500ML-2708</t>
  </si>
  <si>
    <t xml:space="preserve">INV-00270</t>
  </si>
  <si>
    <t xml:space="preserve">MOR-P060500G-2711</t>
  </si>
  <si>
    <t xml:space="preserve">INV-00271</t>
  </si>
  <si>
    <t xml:space="preserve">MOR-P061200ML-2705</t>
  </si>
  <si>
    <t xml:space="preserve">INV-00272</t>
  </si>
  <si>
    <t xml:space="preserve">MOR-P0631000D-2603</t>
  </si>
  <si>
    <t xml:space="preserve">INV-00273</t>
  </si>
  <si>
    <t xml:space="preserve">MOR-P063100D-2609</t>
  </si>
  <si>
    <t xml:space="preserve">INV-00274</t>
  </si>
  <si>
    <t xml:space="preserve">MOR-P063500D-2609</t>
  </si>
  <si>
    <t xml:space="preserve">INV-00275</t>
  </si>
  <si>
    <t xml:space="preserve">MOR-P064100D-2603</t>
  </si>
  <si>
    <t xml:space="preserve">INV-00276</t>
  </si>
  <si>
    <t xml:space="preserve">MOR-P064200D-2603</t>
  </si>
  <si>
    <t xml:space="preserve">INV-00277</t>
  </si>
  <si>
    <t xml:space="preserve">MOR-P0651000D-2601</t>
  </si>
  <si>
    <t xml:space="preserve">INV-00278</t>
  </si>
  <si>
    <t xml:space="preserve">MOR-P0661000D-2609</t>
  </si>
  <si>
    <t xml:space="preserve">INV-00279</t>
  </si>
  <si>
    <t xml:space="preserve">MOR-P066100D-2606</t>
  </si>
  <si>
    <t xml:space="preserve">INV-00280</t>
  </si>
  <si>
    <t xml:space="preserve">MOR-P0671000D-2607</t>
  </si>
  <si>
    <t xml:space="preserve">INV-00281</t>
  </si>
  <si>
    <t xml:space="preserve">MOR-P0681000D-2603</t>
  </si>
  <si>
    <t xml:space="preserve">INV-00282</t>
  </si>
  <si>
    <t xml:space="preserve">MOR-P06950D-2604</t>
  </si>
  <si>
    <t xml:space="preserve">INV-00283</t>
  </si>
  <si>
    <t xml:space="preserve">MOR-P070100D-2604</t>
  </si>
  <si>
    <t xml:space="preserve">INV-00284</t>
  </si>
  <si>
    <t xml:space="preserve">MOR-P0721L-2708</t>
  </si>
  <si>
    <t xml:space="preserve">INV-00285</t>
  </si>
  <si>
    <t xml:space="preserve">MOR-P0731L-2704</t>
  </si>
  <si>
    <t xml:space="preserve">INV-00286</t>
  </si>
  <si>
    <t xml:space="preserve">MOR-P074100PC-2802</t>
  </si>
  <si>
    <t xml:space="preserve">INV-00287</t>
  </si>
  <si>
    <t xml:space="preserve">MOR-P075500G-2802</t>
  </si>
  <si>
    <t xml:space="preserve">INV-00288</t>
  </si>
  <si>
    <t xml:space="preserve">INV-00289</t>
  </si>
  <si>
    <t xml:space="preserve">INV-00290</t>
  </si>
  <si>
    <t xml:space="preserve">INV-00291</t>
  </si>
  <si>
    <t xml:space="preserve">INV-00292</t>
  </si>
  <si>
    <t xml:space="preserve">INV-00293</t>
  </si>
  <si>
    <t xml:space="preserve">INV-00294</t>
  </si>
  <si>
    <t xml:space="preserve">INV-00295</t>
  </si>
  <si>
    <t xml:space="preserve">INV-00296</t>
  </si>
  <si>
    <t xml:space="preserve">INV-00297</t>
  </si>
  <si>
    <t xml:space="preserve">INV-00298</t>
  </si>
  <si>
    <t xml:space="preserve">INV-00299</t>
  </si>
  <si>
    <t xml:space="preserve">INV-00300</t>
  </si>
  <si>
    <t xml:space="preserve">INV-00301</t>
  </si>
  <si>
    <t xml:space="preserve">INV-00302</t>
  </si>
  <si>
    <t xml:space="preserve">INV-00303</t>
  </si>
  <si>
    <t xml:space="preserve">INV-00304</t>
  </si>
  <si>
    <t xml:space="preserve">INV-00305</t>
  </si>
  <si>
    <t xml:space="preserve">INV-00306</t>
  </si>
  <si>
    <t xml:space="preserve">INV-00307</t>
  </si>
  <si>
    <t xml:space="preserve">MBY-P00150KG-2601</t>
  </si>
  <si>
    <t xml:space="preserve">INV-00308</t>
  </si>
  <si>
    <t xml:space="preserve">MBY-P00225KG-2602</t>
  </si>
  <si>
    <t xml:space="preserve">INV-00309</t>
  </si>
  <si>
    <t xml:space="preserve">MBY-P00325KG-2512</t>
  </si>
  <si>
    <t xml:space="preserve">INV-00310</t>
  </si>
  <si>
    <t xml:space="preserve">MBY-P00525KG-2512</t>
  </si>
  <si>
    <t xml:space="preserve">INV-00311</t>
  </si>
  <si>
    <t xml:space="preserve">MBY-P00550KG-2601</t>
  </si>
  <si>
    <t xml:space="preserve">INV-00312</t>
  </si>
  <si>
    <t xml:space="preserve">MBY-P00650KG-2601</t>
  </si>
  <si>
    <t xml:space="preserve">INV-00313</t>
  </si>
  <si>
    <t xml:space="preserve">MBY-P00750KG-2602</t>
  </si>
  <si>
    <t xml:space="preserve">INV-00314</t>
  </si>
  <si>
    <t xml:space="preserve">MBY-P00950KG-2603</t>
  </si>
  <si>
    <t xml:space="preserve">INV-00315</t>
  </si>
  <si>
    <t xml:space="preserve">MBY-P01050KG-2601</t>
  </si>
  <si>
    <t xml:space="preserve">INV-00316</t>
  </si>
  <si>
    <t xml:space="preserve">MBY-P01150KG-2603</t>
  </si>
  <si>
    <t xml:space="preserve">INV-00317</t>
  </si>
  <si>
    <t xml:space="preserve">MBY-P01170KG-2602</t>
  </si>
  <si>
    <t xml:space="preserve">INV-00318</t>
  </si>
  <si>
    <t xml:space="preserve">MBY-P01225KG-2512</t>
  </si>
  <si>
    <t xml:space="preserve">INV-00319</t>
  </si>
  <si>
    <t xml:space="preserve">MBY-P01350KG-2512</t>
  </si>
  <si>
    <t xml:space="preserve">INV-00320</t>
  </si>
  <si>
    <t xml:space="preserve">MBY-P01725KG-2601</t>
  </si>
  <si>
    <t xml:space="preserve">INV-00321</t>
  </si>
  <si>
    <t xml:space="preserve">MBY-P01825KG-2601</t>
  </si>
  <si>
    <t xml:space="preserve">Out of stock but still listed online</t>
  </si>
  <si>
    <t xml:space="preserve">INV-00322</t>
  </si>
  <si>
    <t xml:space="preserve">MBY-P01950KG-2602</t>
  </si>
  <si>
    <t xml:space="preserve">INV-00323</t>
  </si>
  <si>
    <t xml:space="preserve">MBY-P02150KG-2603</t>
  </si>
  <si>
    <t xml:space="preserve">INV-00324</t>
  </si>
  <si>
    <t xml:space="preserve">MBY-P0225KG-2607</t>
  </si>
  <si>
    <t xml:space="preserve">INV-00325</t>
  </si>
  <si>
    <t xml:space="preserve">MBY-P0231KG-2610</t>
  </si>
  <si>
    <t xml:space="preserve">INV-00326</t>
  </si>
  <si>
    <t xml:space="preserve">MBY-P0241KG-2602</t>
  </si>
  <si>
    <t xml:space="preserve">INV-00327</t>
  </si>
  <si>
    <t xml:space="preserve">MBY-P0245KG-2608</t>
  </si>
  <si>
    <t xml:space="preserve">INV-00328</t>
  </si>
  <si>
    <t xml:space="preserve">MBY-P02550KG-2602</t>
  </si>
  <si>
    <t xml:space="preserve">Regional price lower than Dar (local sourcing)</t>
  </si>
  <si>
    <t xml:space="preserve">INV-00329</t>
  </si>
  <si>
    <t xml:space="preserve">MBY-P02650KG-2512</t>
  </si>
  <si>
    <t xml:space="preserve">INV-00330</t>
  </si>
  <si>
    <t xml:space="preserve">MBY-P02750KG-2602</t>
  </si>
  <si>
    <t xml:space="preserve">INV-00331</t>
  </si>
  <si>
    <t xml:space="preserve">MBY-P02825KG-2603</t>
  </si>
  <si>
    <t xml:space="preserve">INV-00332</t>
  </si>
  <si>
    <t xml:space="preserve">MBY-P02850KG-2604</t>
  </si>
  <si>
    <t xml:space="preserve">INV-00333</t>
  </si>
  <si>
    <t xml:space="preserve">MBY-P02950KG-2604</t>
  </si>
  <si>
    <t xml:space="preserve">INV-00334</t>
  </si>
  <si>
    <t xml:space="preserve">MBY-P03025KG-2604</t>
  </si>
  <si>
    <t xml:space="preserve">INV-00335</t>
  </si>
  <si>
    <t xml:space="preserve">MBY-P03150KG-2604</t>
  </si>
  <si>
    <t xml:space="preserve">INV-00336</t>
  </si>
  <si>
    <t xml:space="preserve">MBY-P03215KG-2602</t>
  </si>
  <si>
    <t xml:space="preserve">INV-00337</t>
  </si>
  <si>
    <t xml:space="preserve">MBY-P03350KG-2601</t>
  </si>
  <si>
    <t xml:space="preserve">INV-00338</t>
  </si>
  <si>
    <t xml:space="preserve">MBY-P034100G-2604</t>
  </si>
  <si>
    <t xml:space="preserve">INV-00339</t>
  </si>
  <si>
    <t xml:space="preserve">MBY-P034250G-2611</t>
  </si>
  <si>
    <t xml:space="preserve">INV-00340</t>
  </si>
  <si>
    <t xml:space="preserve">MBY-P03430G-2604</t>
  </si>
  <si>
    <t xml:space="preserve">INV-00341</t>
  </si>
  <si>
    <t xml:space="preserve">MBY-P035100G-2704</t>
  </si>
  <si>
    <t xml:space="preserve">INV-00342</t>
  </si>
  <si>
    <t xml:space="preserve">MBY-P0361KG-2707</t>
  </si>
  <si>
    <t xml:space="preserve">INV-00343</t>
  </si>
  <si>
    <t xml:space="preserve">MBY-P038500ML-2705</t>
  </si>
  <si>
    <t xml:space="preserve">INV-00344</t>
  </si>
  <si>
    <t xml:space="preserve">MBY-P039100G-2603</t>
  </si>
  <si>
    <t xml:space="preserve">INV-00345</t>
  </si>
  <si>
    <t xml:space="preserve">MBY-P039250G-2607</t>
  </si>
  <si>
    <t xml:space="preserve">INV-00346</t>
  </si>
  <si>
    <t xml:space="preserve">MBY-P03930G-2608</t>
  </si>
  <si>
    <t xml:space="preserve">INV-00347</t>
  </si>
  <si>
    <t xml:space="preserve">MBY-P040100G-2605</t>
  </si>
  <si>
    <t xml:space="preserve">INV-00348</t>
  </si>
  <si>
    <t xml:space="preserve">MBY-P0412KG-2705</t>
  </si>
  <si>
    <t xml:space="preserve">INV-00349</t>
  </si>
  <si>
    <t xml:space="preserve">MBY-P0425KG-2612</t>
  </si>
  <si>
    <t xml:space="preserve">INV-00350</t>
  </si>
  <si>
    <t xml:space="preserve">MBY-P0432KG-2608</t>
  </si>
  <si>
    <t xml:space="preserve">INV-00351</t>
  </si>
  <si>
    <t xml:space="preserve">MBY-P044100G-2610</t>
  </si>
  <si>
    <t xml:space="preserve">INV-00352</t>
  </si>
  <si>
    <t xml:space="preserve">MBY-P044500G-2607</t>
  </si>
  <si>
    <t xml:space="preserve">INV-00353</t>
  </si>
  <si>
    <t xml:space="preserve">MBY-P0451KG-2704</t>
  </si>
  <si>
    <t xml:space="preserve">INV-00354</t>
  </si>
  <si>
    <t xml:space="preserve">MBY-P0461KG-2608</t>
  </si>
  <si>
    <t xml:space="preserve">INV-00355</t>
  </si>
  <si>
    <t xml:space="preserve">MBY-P04625KG-2701</t>
  </si>
  <si>
    <t xml:space="preserve">INV-00356</t>
  </si>
  <si>
    <t xml:space="preserve">MBY-P0471L-2701</t>
  </si>
  <si>
    <t xml:space="preserve">INV-00357</t>
  </si>
  <si>
    <t xml:space="preserve">MBY-P047500ML-2702</t>
  </si>
  <si>
    <t xml:space="preserve">INV-00358</t>
  </si>
  <si>
    <t xml:space="preserve">MBY-P048100ML-2709</t>
  </si>
  <si>
    <t xml:space="preserve">INV-00359</t>
  </si>
  <si>
    <t xml:space="preserve">MBY-P04850ML-2702</t>
  </si>
  <si>
    <t xml:space="preserve">INV-00360</t>
  </si>
  <si>
    <t xml:space="preserve">MBY-P049100G-2704</t>
  </si>
  <si>
    <t xml:space="preserve">INV-00361</t>
  </si>
  <si>
    <t xml:space="preserve">MBY-P050100G-2703</t>
  </si>
  <si>
    <t xml:space="preserve">INV-00362</t>
  </si>
  <si>
    <t xml:space="preserve">MBY-P051100ML-2702</t>
  </si>
  <si>
    <t xml:space="preserve">INV-00363</t>
  </si>
  <si>
    <t xml:space="preserve">MBY-P0521L-2706</t>
  </si>
  <si>
    <t xml:space="preserve">INV-00364</t>
  </si>
  <si>
    <t xml:space="preserve">MBY-P052500ML-2611</t>
  </si>
  <si>
    <t xml:space="preserve">INV-00365</t>
  </si>
  <si>
    <t xml:space="preserve">MBY-P053100G-2608</t>
  </si>
  <si>
    <t xml:space="preserve">INV-00366</t>
  </si>
  <si>
    <t xml:space="preserve">MBY-P054500ML-2607</t>
  </si>
  <si>
    <t xml:space="preserve">INV-00367</t>
  </si>
  <si>
    <t xml:space="preserve">MBY-P055100ML-2702</t>
  </si>
  <si>
    <t xml:space="preserve">INV-00368</t>
  </si>
  <si>
    <t xml:space="preserve">MBY-P05550ML-2712</t>
  </si>
  <si>
    <t xml:space="preserve">INV-00369</t>
  </si>
  <si>
    <t xml:space="preserve">MBY-P056100G-2712</t>
  </si>
  <si>
    <t xml:space="preserve">INV-00370</t>
  </si>
  <si>
    <t xml:space="preserve">MBY-P0561KG-2709</t>
  </si>
  <si>
    <t xml:space="preserve">INV-00371</t>
  </si>
  <si>
    <t xml:space="preserve">MBY-P057100ML-2611</t>
  </si>
  <si>
    <t xml:space="preserve">INV-00372</t>
  </si>
  <si>
    <t xml:space="preserve">MBY-P0571L-2706</t>
  </si>
  <si>
    <t xml:space="preserve">INV-00373</t>
  </si>
  <si>
    <t xml:space="preserve">MBY-P0581L-2607</t>
  </si>
  <si>
    <t xml:space="preserve">INV-00374</t>
  </si>
  <si>
    <t xml:space="preserve">MBY-P058250ML-2705</t>
  </si>
  <si>
    <t xml:space="preserve">INV-00375</t>
  </si>
  <si>
    <t xml:space="preserve">MBY-P059500ML-2609</t>
  </si>
  <si>
    <t xml:space="preserve">INV-00376</t>
  </si>
  <si>
    <t xml:space="preserve">MBY-P061200ML-2701</t>
  </si>
  <si>
    <t xml:space="preserve">INV-00377</t>
  </si>
  <si>
    <t xml:space="preserve">MBY-P062400ML-2609</t>
  </si>
  <si>
    <t xml:space="preserve">INV-00378</t>
  </si>
  <si>
    <t xml:space="preserve">MBY-P0631000D-2602</t>
  </si>
  <si>
    <t xml:space="preserve">INV-00379</t>
  </si>
  <si>
    <t xml:space="preserve">MBY-P063100D-2609</t>
  </si>
  <si>
    <t xml:space="preserve">INV-00380</t>
  </si>
  <si>
    <t xml:space="preserve">MBY-P063500D-2609</t>
  </si>
  <si>
    <t xml:space="preserve">INV-00381</t>
  </si>
  <si>
    <t xml:space="preserve">MBY-P064100D-2609</t>
  </si>
  <si>
    <t xml:space="preserve">INV-00382</t>
  </si>
  <si>
    <t xml:space="preserve">MBY-P064200D-2603</t>
  </si>
  <si>
    <t xml:space="preserve">INV-00383</t>
  </si>
  <si>
    <t xml:space="preserve">MBY-P0651000D-2601</t>
  </si>
  <si>
    <t xml:space="preserve">INV-00384</t>
  </si>
  <si>
    <t xml:space="preserve">MBY-P065500D-2604</t>
  </si>
  <si>
    <t xml:space="preserve">INV-00385</t>
  </si>
  <si>
    <t xml:space="preserve">MBY-P0661000D-2605</t>
  </si>
  <si>
    <t xml:space="preserve">INV-00386</t>
  </si>
  <si>
    <t xml:space="preserve">MBY-P066100D-2601</t>
  </si>
  <si>
    <t xml:space="preserve">INV-00387</t>
  </si>
  <si>
    <t xml:space="preserve">MBY-P0671000D-2601</t>
  </si>
  <si>
    <t xml:space="preserve">INV-00388</t>
  </si>
  <si>
    <t xml:space="preserve">MBY-P0681000D-2604</t>
  </si>
  <si>
    <t xml:space="preserve">INV-00389</t>
  </si>
  <si>
    <t xml:space="preserve">MBY-P06950D-2601</t>
  </si>
  <si>
    <t xml:space="preserve">INV-00390</t>
  </si>
  <si>
    <t xml:space="preserve">MBY-P070100D-2608</t>
  </si>
  <si>
    <t xml:space="preserve">INV-00391</t>
  </si>
  <si>
    <t xml:space="preserve">MBY-P0721L-2608</t>
  </si>
  <si>
    <t xml:space="preserve">INV-00392</t>
  </si>
  <si>
    <t xml:space="preserve">MBY-P0725L-2608</t>
  </si>
  <si>
    <t xml:space="preserve">INV-00393</t>
  </si>
  <si>
    <t xml:space="preserve">MBY-P0731L-2803</t>
  </si>
  <si>
    <t xml:space="preserve">INV-00394</t>
  </si>
  <si>
    <t xml:space="preserve">MBY-P074100PC-2703</t>
  </si>
  <si>
    <t xml:space="preserve">INV-00395</t>
  </si>
  <si>
    <t xml:space="preserve">INV-00396</t>
  </si>
  <si>
    <t xml:space="preserve">INV-00397</t>
  </si>
  <si>
    <t xml:space="preserve">INV-00398</t>
  </si>
  <si>
    <t xml:space="preserve">INV-00399</t>
  </si>
  <si>
    <t xml:space="preserve">INV-00400</t>
  </si>
  <si>
    <t xml:space="preserve">INV-00401</t>
  </si>
  <si>
    <t xml:space="preserve">INV-00402</t>
  </si>
  <si>
    <t xml:space="preserve">INV-00403</t>
  </si>
  <si>
    <t xml:space="preserve">INV-00404</t>
  </si>
  <si>
    <t xml:space="preserve">INV-00405</t>
  </si>
  <si>
    <t xml:space="preserve">INV-00406</t>
  </si>
  <si>
    <t xml:space="preserve">INV-00407</t>
  </si>
  <si>
    <t xml:space="preserve">INV-00408</t>
  </si>
  <si>
    <t xml:space="preserve">INV-00409</t>
  </si>
  <si>
    <t xml:space="preserve">INV-00410</t>
  </si>
  <si>
    <t xml:space="preserve">INV-00411</t>
  </si>
  <si>
    <t xml:space="preserve">ARU-P00125KG-2512</t>
  </si>
  <si>
    <t xml:space="preserve">INV-00412</t>
  </si>
  <si>
    <t xml:space="preserve">ARU-P00150KG-2603</t>
  </si>
  <si>
    <t xml:space="preserve">INV-00413</t>
  </si>
  <si>
    <t xml:space="preserve">ARU-P00250KG-2601</t>
  </si>
  <si>
    <t xml:space="preserve">INV-00414</t>
  </si>
  <si>
    <t xml:space="preserve">ARU-P00325KG-2601</t>
  </si>
  <si>
    <t xml:space="preserve">INV-00415</t>
  </si>
  <si>
    <t xml:space="preserve">ARU-P00350KG-2603</t>
  </si>
  <si>
    <t xml:space="preserve">INV-00416</t>
  </si>
  <si>
    <t xml:space="preserve">ARU-P00450KG-2512</t>
  </si>
  <si>
    <t xml:space="preserve">INV-00417</t>
  </si>
  <si>
    <t xml:space="preserve">ARU-P00525KG-2511</t>
  </si>
  <si>
    <t xml:space="preserve">INV-00418</t>
  </si>
  <si>
    <t xml:space="preserve">ARU-P00625KG-2601</t>
  </si>
  <si>
    <t xml:space="preserve">INV-00419</t>
  </si>
  <si>
    <t xml:space="preserve">ARU-P00650KG-2603</t>
  </si>
  <si>
    <t xml:space="preserve">INV-00420</t>
  </si>
  <si>
    <t xml:space="preserve">ARU-P00750KG-2603</t>
  </si>
  <si>
    <t xml:space="preserve">INV-00421</t>
  </si>
  <si>
    <t xml:space="preserve">ARU-P00825KG-2603</t>
  </si>
  <si>
    <t xml:space="preserve">INV-00422</t>
  </si>
  <si>
    <t xml:space="preserve">ARU-P00950KG-2601</t>
  </si>
  <si>
    <t xml:space="preserve">INV-00423</t>
  </si>
  <si>
    <t xml:space="preserve">ARU-P01150KG-2601</t>
  </si>
  <si>
    <t xml:space="preserve">INV-00424</t>
  </si>
  <si>
    <t xml:space="preserve">ARU-P01170KG-2601</t>
  </si>
  <si>
    <t xml:space="preserve">INV-00425</t>
  </si>
  <si>
    <t xml:space="preserve">ARU-P01225KG-2603</t>
  </si>
  <si>
    <t xml:space="preserve">INV-00426</t>
  </si>
  <si>
    <t xml:space="preserve">ARU-P01725KG-2602</t>
  </si>
  <si>
    <t xml:space="preserve">INV-00427</t>
  </si>
  <si>
    <t xml:space="preserve">ARU-P01825KG-2601</t>
  </si>
  <si>
    <t xml:space="preserve">INV-00428</t>
  </si>
  <si>
    <t xml:space="preserve">ARU-P01850KG-2601</t>
  </si>
  <si>
    <t xml:space="preserve">INV-00429</t>
  </si>
  <si>
    <t xml:space="preserve">ARU-P01950KG-2602</t>
  </si>
  <si>
    <t xml:space="preserve">INV-00430</t>
  </si>
  <si>
    <t xml:space="preserve">ARU-P02050KG-2512</t>
  </si>
  <si>
    <t xml:space="preserve">INV-00431</t>
  </si>
  <si>
    <t xml:space="preserve">ARU-P02150KG-2602</t>
  </si>
  <si>
    <t xml:space="preserve">INV-00432</t>
  </si>
  <si>
    <t xml:space="preserve">ARU-P0221KG-2603</t>
  </si>
  <si>
    <t xml:space="preserve">INV-00433</t>
  </si>
  <si>
    <t xml:space="preserve">ARU-P0225KG-2603</t>
  </si>
  <si>
    <t xml:space="preserve">INV-00434</t>
  </si>
  <si>
    <t xml:space="preserve">ARU-P0231KG-2605</t>
  </si>
  <si>
    <t xml:space="preserve">INV-00435</t>
  </si>
  <si>
    <t xml:space="preserve">ARU-P0241KG-2606</t>
  </si>
  <si>
    <t xml:space="preserve">INV-00436</t>
  </si>
  <si>
    <t xml:space="preserve">ARU-P02650KG-2512</t>
  </si>
  <si>
    <t xml:space="preserve">INV-00437</t>
  </si>
  <si>
    <t xml:space="preserve">ARU-P02750KG-2512</t>
  </si>
  <si>
    <t xml:space="preserve">INV-00438</t>
  </si>
  <si>
    <t xml:space="preserve">ARU-P02825KG-2512</t>
  </si>
  <si>
    <t xml:space="preserve">INV-00439</t>
  </si>
  <si>
    <t xml:space="preserve">ARU-P02850KG-2601</t>
  </si>
  <si>
    <t xml:space="preserve">INV-00440</t>
  </si>
  <si>
    <t xml:space="preserve">ARU-P02950KG-2603</t>
  </si>
  <si>
    <t xml:space="preserve">INV-00441</t>
  </si>
  <si>
    <t xml:space="preserve">ARU-P03150KG-2603</t>
  </si>
  <si>
    <t xml:space="preserve">INV-00442</t>
  </si>
  <si>
    <t xml:space="preserve">ARU-P03350KG-2512</t>
  </si>
  <si>
    <t xml:space="preserve">INV-00443</t>
  </si>
  <si>
    <t xml:space="preserve">ARU-P034100G-2605</t>
  </si>
  <si>
    <t xml:space="preserve">INV-00444</t>
  </si>
  <si>
    <t xml:space="preserve">ARU-P034250G-2612</t>
  </si>
  <si>
    <t xml:space="preserve">INV-00445</t>
  </si>
  <si>
    <t xml:space="preserve">ARU-P03430G-2612</t>
  </si>
  <si>
    <t xml:space="preserve">INV-00446</t>
  </si>
  <si>
    <t xml:space="preserve">ARU-P035100G-2603</t>
  </si>
  <si>
    <t xml:space="preserve">INV-00447</t>
  </si>
  <si>
    <t xml:space="preserve">ARU-P035250G-2707</t>
  </si>
  <si>
    <t xml:space="preserve">INV-00448</t>
  </si>
  <si>
    <t xml:space="preserve">ARU-P036100G-2704</t>
  </si>
  <si>
    <t xml:space="preserve">INV-00449</t>
  </si>
  <si>
    <t xml:space="preserve">ARU-P0361KG-2608</t>
  </si>
  <si>
    <t xml:space="preserve">INV-00450</t>
  </si>
  <si>
    <t xml:space="preserve">ARU-P037100ML-2603</t>
  </si>
  <si>
    <t xml:space="preserve">INV-00451</t>
  </si>
  <si>
    <t xml:space="preserve">ARU-P0381L-2607</t>
  </si>
  <si>
    <t xml:space="preserve">INV-00452</t>
  </si>
  <si>
    <t xml:space="preserve">ARU-P038500ML-2704</t>
  </si>
  <si>
    <t xml:space="preserve">INV-00453</t>
  </si>
  <si>
    <t xml:space="preserve">ARU-P039100G-2701</t>
  </si>
  <si>
    <t xml:space="preserve">INV-00454</t>
  </si>
  <si>
    <t xml:space="preserve">ARU-P039250G-2603</t>
  </si>
  <si>
    <t xml:space="preserve">INV-00455</t>
  </si>
  <si>
    <t xml:space="preserve">ARU-P03930G-2612</t>
  </si>
  <si>
    <t xml:space="preserve">INV-00456</t>
  </si>
  <si>
    <t xml:space="preserve">ARU-P040100G-2708</t>
  </si>
  <si>
    <t xml:space="preserve">INV-00457</t>
  </si>
  <si>
    <t xml:space="preserve">ARU-P0412KG-2607</t>
  </si>
  <si>
    <t xml:space="preserve">INV-00458</t>
  </si>
  <si>
    <t xml:space="preserve">ARU-P0425KG-2609</t>
  </si>
  <si>
    <t xml:space="preserve">INV-00459</t>
  </si>
  <si>
    <t xml:space="preserve">ARU-P04320KG-2609</t>
  </si>
  <si>
    <t xml:space="preserve">INV-00460</t>
  </si>
  <si>
    <t xml:space="preserve">ARU-P0432KG-2703</t>
  </si>
  <si>
    <t xml:space="preserve">INV-00461</t>
  </si>
  <si>
    <t xml:space="preserve">ARU-P044100G-2611</t>
  </si>
  <si>
    <t xml:space="preserve">INV-00462</t>
  </si>
  <si>
    <t xml:space="preserve">ARU-P044500G-2610</t>
  </si>
  <si>
    <t xml:space="preserve">INV-00463</t>
  </si>
  <si>
    <t xml:space="preserve">ARU-P0451KG-2701</t>
  </si>
  <si>
    <t xml:space="preserve">INV-00464</t>
  </si>
  <si>
    <t xml:space="preserve">ARU-P0461KG-2705</t>
  </si>
  <si>
    <t xml:space="preserve">INV-00465</t>
  </si>
  <si>
    <t xml:space="preserve">ARU-P04625KG-2708</t>
  </si>
  <si>
    <t xml:space="preserve">INV-00466</t>
  </si>
  <si>
    <t xml:space="preserve">ARU-P048100ML-2607</t>
  </si>
  <si>
    <t xml:space="preserve">INV-00467</t>
  </si>
  <si>
    <t xml:space="preserve">ARU-P04850ML-2701</t>
  </si>
  <si>
    <t xml:space="preserve">INV-00468</t>
  </si>
  <si>
    <t xml:space="preserve">ARU-P049100G-2605</t>
  </si>
  <si>
    <t xml:space="preserve">INV-00469</t>
  </si>
  <si>
    <t xml:space="preserve">ARU-P051100ML-2701</t>
  </si>
  <si>
    <t xml:space="preserve">INV-00470</t>
  </si>
  <si>
    <t xml:space="preserve">ARU-P0521L-2705</t>
  </si>
  <si>
    <t xml:space="preserve">INV-00471</t>
  </si>
  <si>
    <t xml:space="preserve">ARU-P052500ML-2710</t>
  </si>
  <si>
    <t xml:space="preserve">INV-00472</t>
  </si>
  <si>
    <t xml:space="preserve">ARU-P053100G-2604</t>
  </si>
  <si>
    <t xml:space="preserve">INV-00473</t>
  </si>
  <si>
    <t xml:space="preserve">ARU-P054500ML-2709</t>
  </si>
  <si>
    <t xml:space="preserve">INV-00474</t>
  </si>
  <si>
    <t xml:space="preserve">ARU-P055100ML-2610</t>
  </si>
  <si>
    <t xml:space="preserve">INV-00475</t>
  </si>
  <si>
    <t xml:space="preserve">ARU-P05550ML-2712</t>
  </si>
  <si>
    <t xml:space="preserve">INV-00476</t>
  </si>
  <si>
    <t xml:space="preserve">ARU-P0561KG-2610</t>
  </si>
  <si>
    <t xml:space="preserve">INV-00477</t>
  </si>
  <si>
    <t xml:space="preserve">ARU-P057100ML-2703</t>
  </si>
  <si>
    <t xml:space="preserve">INV-00478</t>
  </si>
  <si>
    <t xml:space="preserve">ARU-P0571L-2712</t>
  </si>
  <si>
    <t xml:space="preserve">INV-00479</t>
  </si>
  <si>
    <t xml:space="preserve">ARU-P0581L-2611</t>
  </si>
  <si>
    <t xml:space="preserve">INV-00480</t>
  </si>
  <si>
    <t xml:space="preserve">ARU-P058250ML-2704</t>
  </si>
  <si>
    <t xml:space="preserve">INV-00481</t>
  </si>
  <si>
    <t xml:space="preserve">ARU-P059500ML-2604</t>
  </si>
  <si>
    <t xml:space="preserve">INV-00482</t>
  </si>
  <si>
    <t xml:space="preserve">ARU-P060500G-2608</t>
  </si>
  <si>
    <t xml:space="preserve">INV-00483</t>
  </si>
  <si>
    <t xml:space="preserve">ARU-P061200ML-2610</t>
  </si>
  <si>
    <t xml:space="preserve">INV-00484</t>
  </si>
  <si>
    <t xml:space="preserve">ARU-P062400ML-2610</t>
  </si>
  <si>
    <t xml:space="preserve">INV-00485</t>
  </si>
  <si>
    <t xml:space="preserve">ARU-P0631000D-2606</t>
  </si>
  <si>
    <t xml:space="preserve">INV-00486</t>
  </si>
  <si>
    <t xml:space="preserve">ARU-P063100D-2604</t>
  </si>
  <si>
    <t xml:space="preserve">INV-00487</t>
  </si>
  <si>
    <t xml:space="preserve">ARU-P064100D-2605</t>
  </si>
  <si>
    <t xml:space="preserve">INV-00488</t>
  </si>
  <si>
    <t xml:space="preserve">ARU-P064200D-2605</t>
  </si>
  <si>
    <t xml:space="preserve">INV-00489</t>
  </si>
  <si>
    <t xml:space="preserve">ARU-P0651000D-2606</t>
  </si>
  <si>
    <t xml:space="preserve">INV-00490</t>
  </si>
  <si>
    <t xml:space="preserve">ARU-P0661000D-2512</t>
  </si>
  <si>
    <t xml:space="preserve">INV-00491</t>
  </si>
  <si>
    <t xml:space="preserve">ARU-P066100D-2609</t>
  </si>
  <si>
    <t xml:space="preserve">INV-00492</t>
  </si>
  <si>
    <t xml:space="preserve">ARU-P0681000D-2603</t>
  </si>
  <si>
    <t xml:space="preserve">INV-00493</t>
  </si>
  <si>
    <t xml:space="preserve">ARU-P070100D-2602</t>
  </si>
  <si>
    <t xml:space="preserve">INV-00494</t>
  </si>
  <si>
    <t xml:space="preserve">ARU-P071100D-2605</t>
  </si>
  <si>
    <t xml:space="preserve">INV-00495</t>
  </si>
  <si>
    <t xml:space="preserve">ARU-P0721L-2612</t>
  </si>
  <si>
    <t xml:space="preserve">INV-00496</t>
  </si>
  <si>
    <t xml:space="preserve">ARU-P075500G-2705</t>
  </si>
  <si>
    <t xml:space="preserve">INV-00497</t>
  </si>
  <si>
    <t xml:space="preserve">INV-00498</t>
  </si>
  <si>
    <t xml:space="preserve">INV-00499</t>
  </si>
  <si>
    <t xml:space="preserve">INV-00500</t>
  </si>
  <si>
    <t xml:space="preserve">INV-00501</t>
  </si>
  <si>
    <t xml:space="preserve">INV-00502</t>
  </si>
  <si>
    <t xml:space="preserve">INV-00503</t>
  </si>
  <si>
    <t xml:space="preserve">INV-00504</t>
  </si>
  <si>
    <t xml:space="preserve">INV-00505</t>
  </si>
  <si>
    <t xml:space="preserve">INV-00506</t>
  </si>
  <si>
    <t xml:space="preserve">INV-00507</t>
  </si>
  <si>
    <t xml:space="preserve">INV-00508</t>
  </si>
  <si>
    <t xml:space="preserve">INV-00509</t>
  </si>
  <si>
    <t xml:space="preserve">INV-00510</t>
  </si>
  <si>
    <t xml:space="preserve">INV-00511</t>
  </si>
  <si>
    <t xml:space="preserve">INV-00512</t>
  </si>
  <si>
    <t xml:space="preserve">INV-00513</t>
  </si>
  <si>
    <t xml:space="preserve">MWZ-P00150KG-2601</t>
  </si>
  <si>
    <t xml:space="preserve">INV-00514</t>
  </si>
  <si>
    <t xml:space="preserve">MWZ-P00250KG-2512</t>
  </si>
  <si>
    <t xml:space="preserve">INV-00515</t>
  </si>
  <si>
    <t xml:space="preserve">MWZ-P00350KG-2601</t>
  </si>
  <si>
    <t xml:space="preserve">INV-00516</t>
  </si>
  <si>
    <t xml:space="preserve">MWZ-P00450KG-2602</t>
  </si>
  <si>
    <t xml:space="preserve">INV-00517</t>
  </si>
  <si>
    <t xml:space="preserve">MWZ-P00525KG-2602</t>
  </si>
  <si>
    <t xml:space="preserve">INV-00518</t>
  </si>
  <si>
    <t xml:space="preserve">MWZ-P00550KG-2512</t>
  </si>
  <si>
    <t xml:space="preserve">INV-00519</t>
  </si>
  <si>
    <t xml:space="preserve">MWZ-P00625KG-2512</t>
  </si>
  <si>
    <t xml:space="preserve">INV-00520</t>
  </si>
  <si>
    <t xml:space="preserve">MWZ-P00650KG-2603</t>
  </si>
  <si>
    <t xml:space="preserve">INV-00521</t>
  </si>
  <si>
    <t xml:space="preserve">MWZ-P00750KG-2601</t>
  </si>
  <si>
    <t xml:space="preserve">INV-00522</t>
  </si>
  <si>
    <t xml:space="preserve">MWZ-P01150KG-2602</t>
  </si>
  <si>
    <t xml:space="preserve">INV-00523</t>
  </si>
  <si>
    <t xml:space="preserve">MWZ-P01170KG-2512</t>
  </si>
  <si>
    <t xml:space="preserve">INV-00524</t>
  </si>
  <si>
    <t xml:space="preserve">MWZ-P01350KG-2602</t>
  </si>
  <si>
    <t xml:space="preserve">INV-00525</t>
  </si>
  <si>
    <t xml:space="preserve">MWZ-P01425KG-2512</t>
  </si>
  <si>
    <t xml:space="preserve">INV-00526</t>
  </si>
  <si>
    <t xml:space="preserve">MWZ-P01525KG-2601</t>
  </si>
  <si>
    <t xml:space="preserve">INV-00527</t>
  </si>
  <si>
    <t xml:space="preserve">MWZ-P01625KG-2511</t>
  </si>
  <si>
    <t xml:space="preserve">INV-00528</t>
  </si>
  <si>
    <t xml:space="preserve">MWZ-P01725KG-2601</t>
  </si>
  <si>
    <t xml:space="preserve">INV-00529</t>
  </si>
  <si>
    <t xml:space="preserve">MWZ-P01950KG-2603</t>
  </si>
  <si>
    <t xml:space="preserve">INV-00530</t>
  </si>
  <si>
    <t xml:space="preserve">MWZ-P02050KG-2601</t>
  </si>
  <si>
    <t xml:space="preserve">INV-00531</t>
  </si>
  <si>
    <t xml:space="preserve">MWZ-P0231KG-2603</t>
  </si>
  <si>
    <t xml:space="preserve">INV-00532</t>
  </si>
  <si>
    <t xml:space="preserve">MWZ-P0235KG-2604</t>
  </si>
  <si>
    <t xml:space="preserve">INV-00533</t>
  </si>
  <si>
    <t xml:space="preserve">MWZ-P02550KG-2602</t>
  </si>
  <si>
    <t xml:space="preserve">INV-00534</t>
  </si>
  <si>
    <t xml:space="preserve">MWZ-P02650KG-2601</t>
  </si>
  <si>
    <t xml:space="preserve">INV-00535</t>
  </si>
  <si>
    <t xml:space="preserve">MWZ-P02750KG-2602</t>
  </si>
  <si>
    <t xml:space="preserve">INV-00536</t>
  </si>
  <si>
    <t xml:space="preserve">MWZ-P02825KG-2601</t>
  </si>
  <si>
    <t xml:space="preserve">INV-00537</t>
  </si>
  <si>
    <t xml:space="preserve">MWZ-P02850KG-2602</t>
  </si>
  <si>
    <t xml:space="preserve">INV-00538</t>
  </si>
  <si>
    <t xml:space="preserve">MWZ-P02950KG-2601</t>
  </si>
  <si>
    <t xml:space="preserve">INV-00539</t>
  </si>
  <si>
    <t xml:space="preserve">MWZ-P03025KG-2604</t>
  </si>
  <si>
    <t xml:space="preserve">INV-00540</t>
  </si>
  <si>
    <t xml:space="preserve">MWZ-P03150KG-2603</t>
  </si>
  <si>
    <t xml:space="preserve">INV-00541</t>
  </si>
  <si>
    <t xml:space="preserve">MWZ-P034250G-2603</t>
  </si>
  <si>
    <t xml:space="preserve">INV-00542</t>
  </si>
  <si>
    <t xml:space="preserve">MWZ-P03430G-2605</t>
  </si>
  <si>
    <t xml:space="preserve">INV-00543</t>
  </si>
  <si>
    <t xml:space="preserve">MWZ-P035100G-2701</t>
  </si>
  <si>
    <t xml:space="preserve">INV-00544</t>
  </si>
  <si>
    <t xml:space="preserve">MWZ-P035250G-2605</t>
  </si>
  <si>
    <t xml:space="preserve">INV-00545</t>
  </si>
  <si>
    <t xml:space="preserve">MWZ-P03530G-2702</t>
  </si>
  <si>
    <t xml:space="preserve">INV-00546</t>
  </si>
  <si>
    <t xml:space="preserve">MWZ-P036100G-2606</t>
  </si>
  <si>
    <t xml:space="preserve">INV-00547</t>
  </si>
  <si>
    <t xml:space="preserve">MWZ-P0361KG-2705</t>
  </si>
  <si>
    <t xml:space="preserve">INV-00548</t>
  </si>
  <si>
    <t xml:space="preserve">MWZ-P0381L-2703</t>
  </si>
  <si>
    <t xml:space="preserve">INV-00549</t>
  </si>
  <si>
    <t xml:space="preserve">MWZ-P038500ML-2611</t>
  </si>
  <si>
    <t xml:space="preserve">INV-00550</t>
  </si>
  <si>
    <t xml:space="preserve">MWZ-P039100G-2702</t>
  </si>
  <si>
    <t xml:space="preserve">INV-00551</t>
  </si>
  <si>
    <t xml:space="preserve">MWZ-P039250G-2612</t>
  </si>
  <si>
    <t xml:space="preserve">INV-00552</t>
  </si>
  <si>
    <t xml:space="preserve">MWZ-P0412KG-2612</t>
  </si>
  <si>
    <t xml:space="preserve">INV-00553</t>
  </si>
  <si>
    <t xml:space="preserve">MWZ-P0425KG-2602</t>
  </si>
  <si>
    <t xml:space="preserve">INV-00554</t>
  </si>
  <si>
    <t xml:space="preserve">MWZ-P04320KG-2604</t>
  </si>
  <si>
    <t xml:space="preserve">INV-00555</t>
  </si>
  <si>
    <t xml:space="preserve">MWZ-P044100G-2703</t>
  </si>
  <si>
    <t xml:space="preserve">INV-00556</t>
  </si>
  <si>
    <t xml:space="preserve">MWZ-P044500G-2701</t>
  </si>
  <si>
    <t xml:space="preserve">INV-00557</t>
  </si>
  <si>
    <t xml:space="preserve">MWZ-P0451KG-2604</t>
  </si>
  <si>
    <t xml:space="preserve">INV-00558</t>
  </si>
  <si>
    <t xml:space="preserve">MWZ-P0461KG-2704</t>
  </si>
  <si>
    <t xml:space="preserve">INV-00559</t>
  </si>
  <si>
    <t xml:space="preserve">MWZ-P0471L-2606</t>
  </si>
  <si>
    <t xml:space="preserve">INV-00560</t>
  </si>
  <si>
    <t xml:space="preserve">MWZ-P048100ML-2711</t>
  </si>
  <si>
    <t xml:space="preserve">INV-00561</t>
  </si>
  <si>
    <t xml:space="preserve">MWZ-P050100G-2607</t>
  </si>
  <si>
    <t xml:space="preserve">INV-00562</t>
  </si>
  <si>
    <t xml:space="preserve">MWZ-P051100ML-2712</t>
  </si>
  <si>
    <t xml:space="preserve">INV-00563</t>
  </si>
  <si>
    <t xml:space="preserve">MWZ-P0521L-2609</t>
  </si>
  <si>
    <t xml:space="preserve">INV-00564</t>
  </si>
  <si>
    <t xml:space="preserve">MWZ-P053100G-2704</t>
  </si>
  <si>
    <t xml:space="preserve">INV-00565</t>
  </si>
  <si>
    <t xml:space="preserve">MWZ-P05550ML-2610</t>
  </si>
  <si>
    <t xml:space="preserve">INV-00566</t>
  </si>
  <si>
    <t xml:space="preserve">MWZ-P056100G-2711</t>
  </si>
  <si>
    <t xml:space="preserve">INV-00567</t>
  </si>
  <si>
    <t xml:space="preserve">MWZ-P0561KG-2711</t>
  </si>
  <si>
    <t xml:space="preserve">INV-00568</t>
  </si>
  <si>
    <t xml:space="preserve">MWZ-P057100ML-2703</t>
  </si>
  <si>
    <t xml:space="preserve">INV-00569</t>
  </si>
  <si>
    <t xml:space="preserve">MWZ-P0571L-2710</t>
  </si>
  <si>
    <t xml:space="preserve">INV-00570</t>
  </si>
  <si>
    <t xml:space="preserve">MWZ-P0581L-2706</t>
  </si>
  <si>
    <t xml:space="preserve">INV-00571</t>
  </si>
  <si>
    <t xml:space="preserve">MWZ-P058250ML-2702</t>
  </si>
  <si>
    <t xml:space="preserve">INV-00572</t>
  </si>
  <si>
    <t xml:space="preserve">MWZ-P060500G-2605</t>
  </si>
  <si>
    <t xml:space="preserve">INV-00573</t>
  </si>
  <si>
    <t xml:space="preserve">MWZ-P062400ML-2604</t>
  </si>
  <si>
    <t xml:space="preserve">INV-00574</t>
  </si>
  <si>
    <t xml:space="preserve">MWZ-P0631000D-2601</t>
  </si>
  <si>
    <t xml:space="preserve">INV-00575</t>
  </si>
  <si>
    <t xml:space="preserve">MWZ-P063100D-2512</t>
  </si>
  <si>
    <t xml:space="preserve">INV-00576</t>
  </si>
  <si>
    <t xml:space="preserve">MWZ-P063500D-2512</t>
  </si>
  <si>
    <t xml:space="preserve">INV-00577</t>
  </si>
  <si>
    <t xml:space="preserve">MWZ-P064100D-2602</t>
  </si>
  <si>
    <t xml:space="preserve">INV-00578</t>
  </si>
  <si>
    <t xml:space="preserve">MWZ-P064200D-2601</t>
  </si>
  <si>
    <t xml:space="preserve">INV-00579</t>
  </si>
  <si>
    <t xml:space="preserve">MWZ-P0651000D-2602</t>
  </si>
  <si>
    <t xml:space="preserve">EXPIRED - must be blocked from sale</t>
  </si>
  <si>
    <t xml:space="preserve">INV-00580</t>
  </si>
  <si>
    <t xml:space="preserve">MWZ-P0661000D-2608</t>
  </si>
  <si>
    <t xml:space="preserve">INV-00581</t>
  </si>
  <si>
    <t xml:space="preserve">MWZ-P066100D-2606</t>
  </si>
  <si>
    <t xml:space="preserve">INV-00582</t>
  </si>
  <si>
    <t xml:space="preserve">MWZ-P0671000D-2601</t>
  </si>
  <si>
    <t xml:space="preserve">INV-00583</t>
  </si>
  <si>
    <t xml:space="preserve">MWZ-P0681000D-2609</t>
  </si>
  <si>
    <t xml:space="preserve">INV-00584</t>
  </si>
  <si>
    <t xml:space="preserve">MWZ-P06950D-2602</t>
  </si>
  <si>
    <t xml:space="preserve">INV-00585</t>
  </si>
  <si>
    <t xml:space="preserve">MWZ-P070100D-2610</t>
  </si>
  <si>
    <t xml:space="preserve">INV-00586</t>
  </si>
  <si>
    <t xml:space="preserve">MWZ-P071100D-2605</t>
  </si>
  <si>
    <t xml:space="preserve">INV-00587</t>
  </si>
  <si>
    <t xml:space="preserve">MWZ-P0721L-2803</t>
  </si>
  <si>
    <t xml:space="preserve">INV-00588</t>
  </si>
  <si>
    <t xml:space="preserve">MWZ-P0731L-2706</t>
  </si>
  <si>
    <t xml:space="preserve">INV-00589</t>
  </si>
  <si>
    <t xml:space="preserve">MWZ-P074100PC-2610</t>
  </si>
  <si>
    <t xml:space="preserve">INV-00590</t>
  </si>
  <si>
    <t xml:space="preserve">MWZ-P075500G-2707</t>
  </si>
  <si>
    <t xml:space="preserve">INV-00591</t>
  </si>
  <si>
    <t xml:space="preserve">INV-00592</t>
  </si>
  <si>
    <t xml:space="preserve">INV-00593</t>
  </si>
  <si>
    <t xml:space="preserve">INV-00594</t>
  </si>
  <si>
    <t xml:space="preserve">INV-00595</t>
  </si>
  <si>
    <t xml:space="preserve">INV-00596</t>
  </si>
  <si>
    <t xml:space="preserve">INV-00597</t>
  </si>
  <si>
    <t xml:space="preserve">INV-00598</t>
  </si>
  <si>
    <t xml:space="preserve">INV-00599</t>
  </si>
  <si>
    <t xml:space="preserve">INV-00600</t>
  </si>
  <si>
    <t xml:space="preserve">INV-00601</t>
  </si>
  <si>
    <t xml:space="preserve">INV-00602</t>
  </si>
  <si>
    <t xml:space="preserve">INV-00603</t>
  </si>
  <si>
    <t xml:space="preserve">INV-00604</t>
  </si>
  <si>
    <t xml:space="preserve">INV-00605</t>
  </si>
  <si>
    <t xml:space="preserve">schedule_id</t>
  </si>
  <si>
    <t xml:space="preserve">available_chicks</t>
  </si>
  <si>
    <t xml:space="preserve">commission_on_booked_tzs</t>
  </si>
  <si>
    <t xml:space="preserve">booked_value_tzs</t>
  </si>
  <si>
    <t xml:space="preserve">HS-0001</t>
  </si>
  <si>
    <t xml:space="preserve">Past hatch date - keep for order history, hide from booking</t>
  </si>
  <si>
    <t xml:space="preserve">HS-0002</t>
  </si>
  <si>
    <t xml:space="preserve">HS-0003</t>
  </si>
  <si>
    <t xml:space="preserve">HS-0004</t>
  </si>
  <si>
    <t xml:space="preserve">Cut-off passed - Closed although capacity remains</t>
  </si>
  <si>
    <t xml:space="preserve">HS-0005</t>
  </si>
  <si>
    <t xml:space="preserve">HS-0006</t>
  </si>
  <si>
    <t xml:space="preserve">HS-0007</t>
  </si>
  <si>
    <t xml:space="preserve">HS-0008</t>
  </si>
  <si>
    <t xml:space="preserve">HS-0009</t>
  </si>
  <si>
    <t xml:space="preserve">HS-0010</t>
  </si>
  <si>
    <t xml:space="preserve">HS-0011</t>
  </si>
  <si>
    <t xml:space="preserve">HS-0012</t>
  </si>
  <si>
    <t xml:space="preserve">HS-0013</t>
  </si>
  <si>
    <t xml:space="preserve">HS-0014</t>
  </si>
  <si>
    <t xml:space="preserve">HS-0015</t>
  </si>
  <si>
    <t xml:space="preserve">HS-0016</t>
  </si>
  <si>
    <t xml:space="preserve">FULL - date must show as FULL and refuse bookings</t>
  </si>
  <si>
    <t xml:space="preserve">HS-0017</t>
  </si>
  <si>
    <t xml:space="preserve">HS-0018</t>
  </si>
  <si>
    <t xml:space="preserve">HS-0019</t>
  </si>
  <si>
    <t xml:space="preserve">Nearly full - only 100 left; an order of 150 must be refused</t>
  </si>
  <si>
    <t xml:space="preserve">HS-0020</t>
  </si>
  <si>
    <t xml:space="preserve">HS-0021</t>
  </si>
  <si>
    <t xml:space="preserve">HS-0022</t>
  </si>
  <si>
    <t xml:space="preserve">HS-0023</t>
  </si>
  <si>
    <t xml:space="preserve">FULL (exclusive chick type)</t>
  </si>
  <si>
    <t xml:space="preserve">HS-0024</t>
  </si>
  <si>
    <t xml:space="preserve">HS-0025</t>
  </si>
  <si>
    <t xml:space="preserve">HS-0026</t>
  </si>
  <si>
    <t xml:space="preserve">HS-0027</t>
  </si>
  <si>
    <t xml:space="preserve">HS-0028</t>
  </si>
  <si>
    <t xml:space="preserve">HS-0029</t>
  </si>
  <si>
    <t xml:space="preserve">HS-0030</t>
  </si>
  <si>
    <t xml:space="preserve">HS-0031</t>
  </si>
  <si>
    <t xml:space="preserve">HS-0032</t>
  </si>
  <si>
    <t xml:space="preserve">HS-0033</t>
  </si>
  <si>
    <t xml:space="preserve">HS-0034</t>
  </si>
  <si>
    <t xml:space="preserve">HS-0035</t>
  </si>
  <si>
    <t xml:space="preserve">HS-0036</t>
  </si>
  <si>
    <t xml:space="preserve">HS-0037</t>
  </si>
  <si>
    <t xml:space="preserve">HS-0038</t>
  </si>
  <si>
    <t xml:space="preserve">HS-0039</t>
  </si>
  <si>
    <t xml:space="preserve">HS-0040</t>
  </si>
  <si>
    <t xml:space="preserve">HS-0041</t>
  </si>
  <si>
    <t xml:space="preserve">HS-0042</t>
  </si>
  <si>
    <t xml:space="preserve">HS-0043</t>
  </si>
  <si>
    <t xml:space="preserve">HS-0044</t>
  </si>
  <si>
    <t xml:space="preserve">HS-0045</t>
  </si>
  <si>
    <t xml:space="preserve">HS-0046</t>
  </si>
  <si>
    <t xml:space="preserve">HS-0047</t>
  </si>
  <si>
    <t xml:space="preserve">HS-0048</t>
  </si>
  <si>
    <t xml:space="preserve">HS-0049</t>
  </si>
  <si>
    <t xml:space="preserve">HS-0050</t>
  </si>
  <si>
    <t xml:space="preserve">HS-0051</t>
  </si>
  <si>
    <t xml:space="preserve">HS-0052</t>
  </si>
  <si>
    <t xml:space="preserve">HS-0053</t>
  </si>
  <si>
    <t xml:space="preserve">HS-0054</t>
  </si>
  <si>
    <t xml:space="preserve">HS-0055</t>
  </si>
  <si>
    <t xml:space="preserve">HS-0056</t>
  </si>
  <si>
    <t xml:space="preserve">HS-0057</t>
  </si>
  <si>
    <t xml:space="preserve">HS-0058</t>
  </si>
  <si>
    <t xml:space="preserve">HS-0059</t>
  </si>
  <si>
    <t xml:space="preserve">HS-0060</t>
  </si>
  <si>
    <t xml:space="preserve">HS-0061</t>
  </si>
  <si>
    <t xml:space="preserve">Price differs by hatch date (+50 TZS on later dates)</t>
  </si>
  <si>
    <t xml:space="preserve">HS-0062</t>
  </si>
  <si>
    <t xml:space="preserve">HS-0063</t>
  </si>
  <si>
    <t xml:space="preserve">HS-0064</t>
  </si>
  <si>
    <t xml:space="preserve">HS-0065</t>
  </si>
  <si>
    <t xml:space="preserve">HS-0066</t>
  </si>
  <si>
    <t xml:space="preserve">HS-0067</t>
  </si>
  <si>
    <t xml:space="preserve">HS-0068</t>
  </si>
  <si>
    <t xml:space="preserve">HS-0069</t>
  </si>
  <si>
    <t xml:space="preserve">HS-0070</t>
  </si>
  <si>
    <t xml:space="preserve">HS-0071</t>
  </si>
  <si>
    <t xml:space="preserve">HS-0072</t>
  </si>
  <si>
    <t xml:space="preserve">HS-0073</t>
  </si>
  <si>
    <t xml:space="preserve">HS-0074</t>
  </si>
  <si>
    <t xml:space="preserve">HS-0075</t>
  </si>
  <si>
    <t xml:space="preserve">HS-0076</t>
  </si>
  <si>
    <t xml:space="preserve">HS-0077</t>
  </si>
  <si>
    <t xml:space="preserve">HS-0078</t>
  </si>
  <si>
    <t xml:space="preserve">HS-0079</t>
  </si>
  <si>
    <t xml:space="preserve">HS-0080</t>
  </si>
  <si>
    <t xml:space="preserve">HS-0081</t>
  </si>
  <si>
    <t xml:space="preserve">HS-0082</t>
  </si>
  <si>
    <t xml:space="preserve">HS-0083</t>
  </si>
  <si>
    <t xml:space="preserve">HS-0084</t>
  </si>
  <si>
    <t xml:space="preserve">HS-0085</t>
  </si>
  <si>
    <t xml:space="preserve">HS-0086</t>
  </si>
  <si>
    <t xml:space="preserve">HS-0087</t>
  </si>
  <si>
    <t xml:space="preserve">dimension</t>
  </si>
  <si>
    <t xml:space="preserve">live_value</t>
  </si>
  <si>
    <t xml:space="preserve">new_id</t>
  </si>
  <si>
    <t xml:space="preserve">new_name</t>
  </si>
  <si>
    <t xml:space="preserve">migration_rule</t>
  </si>
  <si>
    <t xml:space="preserve">Keep as level-1 parent.</t>
  </si>
  <si>
    <t xml:space="preserve">Feed &gt; Starter</t>
  </si>
  <si>
    <t xml:space="preserve">Set life_stages = starter for the product's animal (e.g. LS-POU-STR).</t>
  </si>
  <si>
    <t xml:space="preserve">Feed &gt; Grower</t>
  </si>
  <si>
    <t xml:space="preserve">Set life_stages = grower for the right animal (chicken LS-POU-GRW, pig LS-PIG-GRW). Fixes 'grower' search mixing pigs and chickens.</t>
  </si>
  <si>
    <t xml:space="preserve">Feed &gt; Finisher</t>
  </si>
  <si>
    <t xml:space="preserve">Set life_stages = finisher.</t>
  </si>
  <si>
    <t xml:space="preserve">Feed &gt; Layers Mash</t>
  </si>
  <si>
    <t xml:space="preserve">Set life_stages = LS-POU-LAY and production_purpose = layer.</t>
  </si>
  <si>
    <t xml:space="preserve">Keep.</t>
  </si>
  <si>
    <t xml:space="preserve">Feed (no sub-category: Dairy Meal, Tilapia Feed)</t>
  </si>
  <si>
    <t xml:space="preserve">Items sitting on bare 'Feed' must be given a level-2 category.</t>
  </si>
  <si>
    <t xml:space="preserve">Vaccines</t>
  </si>
  <si>
    <t xml:space="preserve">Keep. Add disease_target and cold_chain_required to every item.</t>
  </si>
  <si>
    <t xml:space="preserve">C30 &gt; C3010-C3060</t>
  </si>
  <si>
    <t xml:space="preserve">Medicines &gt; (sub-category)</t>
  </si>
  <si>
    <t xml:space="preserve">Assign each item a sub-category (antibiotics, dewormers ...).</t>
  </si>
  <si>
    <t xml:space="preserve">Vitamins &amp; Supplements</t>
  </si>
  <si>
    <t xml:space="preserve">C20 &gt; C2010-C2060</t>
  </si>
  <si>
    <t xml:space="preserve">Supplements &amp; additives &gt; (sub-category)</t>
  </si>
  <si>
    <t xml:space="preserve">Split: vitamins, electrolytes, minerals/licks, probiotics, toxin binders, tonics.</t>
  </si>
  <si>
    <t xml:space="preserve">Equipment</t>
  </si>
  <si>
    <t xml:space="preserve">Keep as parent.</t>
  </si>
  <si>
    <t xml:space="preserve">Equipment &gt; Feeders &amp; Drinkers</t>
  </si>
  <si>
    <t xml:space="preserve">Equipment &gt; Feeders &amp; drinkers</t>
  </si>
  <si>
    <t xml:space="preserve">Equipment &gt; Housing &amp; Brooding</t>
  </si>
  <si>
    <t xml:space="preserve">C6020 or C6030</t>
  </si>
  <si>
    <t xml:space="preserve">Brooding &amp; heating / Housing, cages &amp; nests</t>
  </si>
  <si>
    <t xml:space="preserve">Split per product.</t>
  </si>
  <si>
    <t xml:space="preserve">Veterinary Products</t>
  </si>
  <si>
    <t xml:space="preserve">C50 or C6060</t>
  </si>
  <si>
    <t xml:space="preserve">Biosecurity &amp; hygiene / Veterinary tools</t>
  </si>
  <si>
    <t xml:space="preserve">Retire. Move disinfectants to C50 and tools to C6060.</t>
  </si>
  <si>
    <t xml:space="preserve">(none)</t>
  </si>
  <si>
    <t xml:space="preserve">C1030, C1040, C1050</t>
  </si>
  <si>
    <t xml:space="preserve">Premixes / Raw materials / Forage</t>
  </si>
  <si>
    <t xml:space="preserve">New.</t>
  </si>
  <si>
    <t xml:space="preserve">C70 &gt; C7010-C7040</t>
  </si>
  <si>
    <t xml:space="preserve">Oda chick types (Broiler, Layer, Tanbro, Sasso)</t>
  </si>
  <si>
    <t xml:space="preserve">Live animals &gt; Day-old chicks &amp; hatching eggs</t>
  </si>
  <si>
    <t xml:space="preserve">Each hatchery x chick type becomes one product; chick type maps to production_purpose + breed_strain. See Map_Oda_Chicks.</t>
  </si>
  <si>
    <t xml:space="preserve">Poultry &gt; Chicken</t>
  </si>
  <si>
    <t xml:space="preserve">Poultry &gt; Other Poultry</t>
  </si>
  <si>
    <t xml:space="preserve">Other poultry</t>
  </si>
  <si>
    <t xml:space="preserve">AN-CAT (+ AN-DCT, AN-BCT)</t>
  </si>
  <si>
    <t xml:space="preserve">Cattle (+ Dairy, Beef)</t>
  </si>
  <si>
    <t xml:space="preserve">Add children. Field becomes multi-select.</t>
  </si>
  <si>
    <t xml:space="preserve">AN-GTS (+ AN-GOT, AN-SHP)</t>
  </si>
  <si>
    <t xml:space="preserve">Goats &amp; Sheep (+ Goats, Sheep)</t>
  </si>
  <si>
    <t xml:space="preserve">Add children.</t>
  </si>
  <si>
    <t xml:space="preserve">AN-FSH (+ AN-TIL, AN-CAF)</t>
  </si>
  <si>
    <t xml:space="preserve">Fish (+ Tilapia, Catfish)</t>
  </si>
  <si>
    <t xml:space="preserve">Other Livestock / Animals</t>
  </si>
  <si>
    <t xml:space="preserve">Other animals</t>
  </si>
  <si>
    <t xml:space="preserve">live_product_name</t>
  </si>
  <si>
    <t xml:space="preserve">live_producer</t>
  </si>
  <si>
    <t xml:space="preserve">live_category</t>
  </si>
  <si>
    <t xml:space="preserve">live_unit</t>
  </si>
  <si>
    <t xml:space="preserve">live_inventory</t>
  </si>
  <si>
    <t xml:space="preserve">issues_found</t>
  </si>
  <si>
    <t xml:space="preserve">new_product_id</t>
  </si>
  <si>
    <t xml:space="preserve">new_product_name</t>
  </si>
  <si>
    <t xml:space="preserve">new_sku</t>
  </si>
  <si>
    <t xml:space="preserve">new_category_id</t>
  </si>
  <si>
    <t xml:space="preserve">new_category_path</t>
  </si>
  <si>
    <t xml:space="preserve">new_animal_types</t>
  </si>
  <si>
    <t xml:space="preserve">new_life_stages</t>
  </si>
  <si>
    <t xml:space="preserve">migration_action</t>
  </si>
  <si>
    <t xml:space="preserve">decision_needed</t>
  </si>
  <si>
    <t xml:space="preserve">Albendazole Dewormer 1L</t>
  </si>
  <si>
    <t xml:space="preserve">Not stocked</t>
  </si>
  <si>
    <t xml:space="preserve">Single animal only (goat/sheep farmers can't find it); no sub-category; no brand; pack size in name.</t>
  </si>
  <si>
    <t xml:space="preserve">Rename, set animals Cattle+Goats+Sheep, category Dewormers, add brand, attach 1 L as a variant.</t>
  </si>
  <si>
    <t xml:space="preserve">Chick Drinker 4L</t>
  </si>
  <si>
    <t xml:space="preserve">Pack/capacity in name; no brand.</t>
  </si>
  <si>
    <t xml:space="preserve">Rename; 4 L becomes capacity/variant.</t>
  </si>
  <si>
    <t xml:space="preserve">Chicken Finisher 25KG</t>
  </si>
  <si>
    <t xml:space="preserve">Stage used as category; pack in name; broiler vs other not stated.</t>
  </si>
  <si>
    <t xml:space="preserve">Move to Complete feed + finisher + broiler.</t>
  </si>
  <si>
    <t xml:space="preserve">Chicken Grower 25KG</t>
  </si>
  <si>
    <t xml:space="preserve">1 item (0 bags - low stock)</t>
  </si>
  <si>
    <t xml:space="preserve">Stage used as category; ambiguous whether broiler grower or layer (pullet) grower.</t>
  </si>
  <si>
    <t xml:space="preserve">Move to Complete feed + grower + purpose.</t>
  </si>
  <si>
    <t xml:space="preserve">Confirm with Silverlands: broiler or layer grower?</t>
  </si>
  <si>
    <t xml:space="preserve">1 item</t>
  </si>
  <si>
    <t xml:space="preserve">Same display name as the Silverlands item - buyers can't tell them apart without the producer line.</t>
  </si>
  <si>
    <t xml:space="preserve">Rename to a distinct product name; move to Complete feed + grower + layer.</t>
  </si>
  <si>
    <t xml:space="preserve">Assumed layer-pullet grower; confirm.</t>
  </si>
  <si>
    <t xml:space="preserve">Chicken Starter 25KG</t>
  </si>
  <si>
    <t xml:space="preserve">Stage used as category; broiler vs layer chick not stated.</t>
  </si>
  <si>
    <t xml:space="preserve">Move to Complete feed + starter + broiler.</t>
  </si>
  <si>
    <t xml:space="preserve">Confirm broiler starter vs chick &amp; duck mash.</t>
  </si>
  <si>
    <t xml:space="preserve">Dairy Meal 70KG</t>
  </si>
  <si>
    <t xml:space="preserve">No level-2 category; no producer; should be Dairy cattle, not all Cattle.</t>
  </si>
  <si>
    <t xml:space="preserve">Complete feed + lactating + dairy; add producer.</t>
  </si>
  <si>
    <t xml:space="preserve">Goat &amp; Sheep Mineral Lick 2KG</t>
  </si>
  <si>
    <t xml:space="preserve">Lumped with vitamins.</t>
  </si>
  <si>
    <t xml:space="preserve">Move to Minerals &amp; licks.</t>
  </si>
  <si>
    <t xml:space="preserve">Gumboro Vaccine 1000 doses</t>
  </si>
  <si>
    <t xml:space="preserve">No brand, disease, cold-chain or prescription flag.</t>
  </si>
  <si>
    <t xml:space="preserve">Add disease_target, cold chain, Rx flag; doses become variant.</t>
  </si>
  <si>
    <t xml:space="preserve">Layers Mash 50KG</t>
  </si>
  <si>
    <t xml:space="preserve">Product used as a category.</t>
  </si>
  <si>
    <t xml:space="preserve">Complete feed + laying + layer.</t>
  </si>
  <si>
    <t xml:space="preserve">Newcastle Disease Vaccine (Lasota) 100 doses</t>
  </si>
  <si>
    <t xml:space="preserve">As Gumboro.</t>
  </si>
  <si>
    <t xml:space="preserve">Add disease_target newcastle + Kiswahili 'kideri'.</t>
  </si>
  <si>
    <t xml:space="preserve">Oxytetracycline 20% Injection 100ml</t>
  </si>
  <si>
    <t xml:space="preserve">Single animal; prescription status not captured but listed for open sale.</t>
  </si>
  <si>
    <t xml:space="preserve">Animals Cattle+Goats+Sheep+Pigs; Antibiotics; Rx flag.</t>
  </si>
  <si>
    <t xml:space="preserve">Confirm prescription status under the vet regulations.</t>
  </si>
  <si>
    <t xml:space="preserve">Pig Grower Pellets 50KG</t>
  </si>
  <si>
    <t xml:space="preserve">Shares 'Grower' bucket with chicken feed.</t>
  </si>
  <si>
    <t xml:space="preserve">Complete feed + LS-PIG-GRW; add producer.</t>
  </si>
  <si>
    <t xml:space="preserve">Poultry Multivitamin 100g</t>
  </si>
  <si>
    <t xml:space="preserve">Generic, brandless entry - sellers will link branded products (e.g. Vitamix Plus) to it and the brand is lost.</t>
  </si>
  <si>
    <t xml:space="preserve">Retire; relink any inventory to the branded product actually stocked.</t>
  </si>
  <si>
    <t xml:space="preserve">Retire generic entries? (recommended)</t>
  </si>
  <si>
    <t xml:space="preserve">Tilapia Floating Feed 25KG</t>
  </si>
  <si>
    <t xml:space="preserve">No level-2 category; pellet size and stage unknown.</t>
  </si>
  <si>
    <t xml:space="preserve">Complete feed + Tilapia + grow-out.</t>
  </si>
  <si>
    <t xml:space="preserve">Confirm pellet size.</t>
  </si>
  <si>
    <t xml:space="preserve">type</t>
  </si>
  <si>
    <t xml:space="preserve">new_value</t>
  </si>
  <si>
    <t xml:space="preserve">action</t>
  </si>
  <si>
    <t xml:space="preserve">seller</t>
  </si>
  <si>
    <t xml:space="preserve">Amsterderm Group</t>
  </si>
  <si>
    <t xml:space="preserve">Rename to match the brand on packs and website.</t>
  </si>
  <si>
    <t xml:space="preserve">store</t>
  </si>
  <si>
    <t xml:space="preserve">Amsterdem Group - Main</t>
  </si>
  <si>
    <t xml:space="preserve">Confirmed 27 Oct: Main is Tegeta. Rename the existing store record; keep its id, stock and sales history.</t>
  </si>
  <si>
    <t xml:space="preserve">Amsterdem Group - Ubungo</t>
  </si>
  <si>
    <t xml:space="preserve">(not in new list)</t>
  </si>
  <si>
    <t xml:space="preserve">-</t>
  </si>
  <si>
    <t xml:space="preserve">Not among the branches you listed.</t>
  </si>
  <si>
    <t xml:space="preserve">Keep Ubungo as a 7th store, or close it and transfer its stock?</t>
  </si>
  <si>
    <t xml:space="preserve">Kilimo Bora Agrovet</t>
  </si>
  <si>
    <t xml:space="preserve">(unchanged)</t>
  </si>
  <si>
    <t xml:space="preserve">Other sellers keep their accounts; relink their inventory to the new catalogue IDs.</t>
  </si>
  <si>
    <t xml:space="preserve">Mbezi Livestock Supplies</t>
  </si>
  <si>
    <t xml:space="preserve">As above.</t>
  </si>
  <si>
    <t xml:space="preserve">Oda tenants (11 hatcheries)</t>
  </si>
  <si>
    <t xml:space="preserve">SEL-KIBO ... SEL-SIL</t>
  </si>
  <si>
    <t xml:space="preserve">Hatchery sellers</t>
  </si>
  <si>
    <t xml:space="preserve">Create one seller per Oda tenant; see Map_Oda_Chicks for order of steps.</t>
  </si>
  <si>
    <t xml:space="preserve">Confirm legal names and Selcom merchant ids.</t>
  </si>
  <si>
    <t xml:space="preserve">domain</t>
  </si>
  <si>
    <t xml:space="preserve">odaamsterdermhub.co.tz</t>
  </si>
  <si>
    <t xml:space="preserve">Spelling differs from 'Amsterdam'. Branding decision, outside this data file.</t>
  </si>
  <si>
    <t xml:space="preserve">Keep or change?</t>
  </si>
  <si>
    <t xml:space="preserve">step</t>
  </si>
  <si>
    <t xml:space="preserve">oda_today</t>
  </si>
  <si>
    <t xml:space="preserve">in_the_hub</t>
  </si>
  <si>
    <t xml:space="preserve">where_in_workbook</t>
  </si>
  <si>
    <t xml:space="preserve">migration_note</t>
  </si>
  <si>
    <t xml:space="preserve">concept</t>
  </si>
  <si>
    <t xml:space="preserve">Tenant (supplier) with subdomain, e.g. kibo.oda.co.tz</t>
  </si>
  <si>
    <t xml:space="preserve">Seller with seller_type = Hatchery</t>
  </si>
  <si>
    <t xml:space="preserve">Create one seller per tenant and keep the slug as its storefront slug; redirect the old subdomain to the storefront.</t>
  </si>
  <si>
    <t xml:space="preserve">Selcom merchant account per supplier, split disbursement</t>
  </si>
  <si>
    <t xml:space="preserve">Payment settings on the seller</t>
  </si>
  <si>
    <t xml:space="preserve">Sellers (notes)</t>
  </si>
  <si>
    <t xml:space="preserve">Carry each merchant id over unchanged so split payouts keep working from day one.</t>
  </si>
  <si>
    <t xml:space="preserve">Chick types offered by each tenant</t>
  </si>
  <si>
    <t xml:space="preserve">One product per hatchery x chick type in C7010</t>
  </si>
  <si>
    <t xml:space="preserve">Products, Variants</t>
  </si>
  <si>
    <t xml:space="preserve">Create products before schedules. Chick type maps to production_purpose and breed_strain; selling unit = bird, min order 50.</t>
  </si>
  <si>
    <t xml:space="preserve">Hatch dates with price and fixed capacity</t>
  </si>
  <si>
    <t xml:space="preserve">Hatch_Schedule row (seller x SKU x hatch date)</t>
  </si>
  <si>
    <t xml:space="preserve">Import future dates only. Past dates stay as order history.</t>
  </si>
  <si>
    <t xml:space="preserve">Auto-FULL when booked &gt;= capacity</t>
  </si>
  <si>
    <t xml:space="preserve">status = FULL (same rule)</t>
  </si>
  <si>
    <t xml:space="preserve">Hatch_Schedule.status</t>
  </si>
  <si>
    <t xml:space="preserve">Keep the rule server-side; the sheet formula shows the expected result for testing.</t>
  </si>
  <si>
    <t xml:space="preserve">CSV upload: 3 columns (single type) / 4 columns (multi type)</t>
  </si>
  <si>
    <t xml:space="preserve">Same CSV, mapped to sku + hatch_date + price + capacity</t>
  </si>
  <si>
    <t xml:space="preserve">For multi-type hatcheries the chick-type column resolves to that hatchery's SKU.</t>
  </si>
  <si>
    <t xml:space="preserve">Customer flow: chick type &gt; supplier list &gt; hatch date &gt; quantity &amp; delivery</t>
  </si>
  <si>
    <t xml:space="preserve">Day-old chicks category page &gt; filter by type &gt; compare hatcheries &gt; pick hatch date &gt; quantity (min 50) &gt; delivery</t>
  </si>
  <si>
    <t xml:space="preserve">Keep Oda's 4-step flow as the product-page behaviour for C7010 only; every other category uses the normal cart.</t>
  </si>
  <si>
    <t xml:space="preserve">Supplier commission 50-70 TZS per chick</t>
  </si>
  <si>
    <t xml:space="preserve">oda_commission_per_chick_tzs on each schedule row</t>
  </si>
  <si>
    <t xml:space="preserve">Dummy 60 TZS here. Decide whether the rate is set per seller or per hatch date before go-live.</t>
  </si>
  <si>
    <t xml:space="preserve">tenant_admin role</t>
  </si>
  <si>
    <t xml:space="preserve">Seller staff role scoped to that seller</t>
  </si>
  <si>
    <t xml:space="preserve">Map existing tenant_admin users to seller staff.</t>
  </si>
  <si>
    <t xml:space="preserve">Open chick orders</t>
  </si>
  <si>
    <t xml:space="preserve">Hub orders referencing sku + schedule_id</t>
  </si>
  <si>
    <t xml:space="preserve">Migrate open orders last, then switch Oda traffic to the hub. Run a parallel check on booked counts before cut-over.</t>
  </si>
  <si>
    <t xml:space="preserve">hatchery x type</t>
  </si>
  <si>
    <t xml:space="preserve">Kibo - Broiler</t>
  </si>
  <si>
    <t xml:space="preserve">P095 Kibo Broiler Day-old Chicks / SEL-KIBO</t>
  </si>
  <si>
    <t xml:space="preserve">Products, Hatch_Schedule</t>
  </si>
  <si>
    <t xml:space="preserve">Harsho - Broiler</t>
  </si>
  <si>
    <t xml:space="preserve">P096 Harsho Broiler Day-old Chicks / SEL-HARS</t>
  </si>
  <si>
    <t xml:space="preserve">Backbone - Broiler</t>
  </si>
  <si>
    <t xml:space="preserve">P097 Backbone Broiler Day-old Chicks / SEL-BACK</t>
  </si>
  <si>
    <t xml:space="preserve">Irvines - Broiler</t>
  </si>
  <si>
    <t xml:space="preserve">P098 Irvines Broiler Day-old Chicks / SEL-IRVN</t>
  </si>
  <si>
    <t xml:space="preserve">Organia - Broiler</t>
  </si>
  <si>
    <t xml:space="preserve">P099 Organia Broiler Day-old Chicks / SEL-ORGN</t>
  </si>
  <si>
    <t xml:space="preserve">Happy Chicks - Broiler</t>
  </si>
  <si>
    <t xml:space="preserve">P100 Happy Chicks Broiler Day-old Chicks / SEL-HAPP</t>
  </si>
  <si>
    <t xml:space="preserve">Central Chicks (Animal Care) - Broiler</t>
  </si>
  <si>
    <t xml:space="preserve">P101 Central Chicks (Animal Care) Broiler Day-old Chicks / SEL-CENT</t>
  </si>
  <si>
    <t xml:space="preserve">Tanzania Poultry Farms - Broiler</t>
  </si>
  <si>
    <t xml:space="preserve">P102 Tanzania Poultry Farms Broiler Day-old Chicks / SEL-TPF</t>
  </si>
  <si>
    <t xml:space="preserve">Tanzania Poultry Farms - Layer</t>
  </si>
  <si>
    <t xml:space="preserve">P103 Tanzania Poultry Farms Layer Day-old Chicks / SEL-TPF</t>
  </si>
  <si>
    <t xml:space="preserve">Mkuza Chicks - Broiler</t>
  </si>
  <si>
    <t xml:space="preserve">P104 Mkuza Chicks Broiler Day-old Chicks / SEL-MKUZ</t>
  </si>
  <si>
    <t xml:space="preserve">Mkuza Chicks - Layer</t>
  </si>
  <si>
    <t xml:space="preserve">P105 Mkuza Chicks Layer Day-old Chicks / SEL-MKUZ</t>
  </si>
  <si>
    <t xml:space="preserve">Interchick - Broiler</t>
  </si>
  <si>
    <t xml:space="preserve">P106 Interchick Broiler Day-old Chicks / SEL-INTR</t>
  </si>
  <si>
    <t xml:space="preserve">Interchick - Layer</t>
  </si>
  <si>
    <t xml:space="preserve">P107 Interchick Layer Day-old Chicks / SEL-INTR</t>
  </si>
  <si>
    <t xml:space="preserve">Interchick - Tanbro</t>
  </si>
  <si>
    <t xml:space="preserve">P108 Interchick Tanbro Day-old Chicks / SEL-INTR</t>
  </si>
  <si>
    <t xml:space="preserve">Exclusive to this hatchery</t>
  </si>
  <si>
    <t xml:space="preserve">Silverlands - Broiler</t>
  </si>
  <si>
    <t xml:space="preserve">P109 Silverlands Broiler Day-old Chicks / SEL-SIL</t>
  </si>
  <si>
    <t xml:space="preserve">Silverlands - Layer</t>
  </si>
  <si>
    <t xml:space="preserve">P110 Silverlands Layer Day-old Chicks / SEL-SIL</t>
  </si>
  <si>
    <t xml:space="preserve">Silverlands - Sasso</t>
  </si>
  <si>
    <t xml:space="preserve">P111 Silverlands Sasso Day-old Chicks / SEL-SIL</t>
  </si>
</sst>
</file>

<file path=xl/styles.xml><?xml version="1.0" encoding="utf-8"?>
<styleSheet xmlns="http://schemas.openxmlformats.org/spreadsheetml/2006/main">
  <numFmts count="8">
    <numFmt numFmtId="164" formatCode="General"/>
    <numFmt numFmtId="165" formatCode="dd\-mmm\-yyyy"/>
    <numFmt numFmtId="166" formatCode="General"/>
    <numFmt numFmtId="167" formatCode="0.0000"/>
    <numFmt numFmtId="168" formatCode="#,##0"/>
    <numFmt numFmtId="169" formatCode="@"/>
    <numFmt numFmtId="170" formatCode="yyyy\-mm\-dd"/>
    <numFmt numFmtId="171" formatCode="0.0%"/>
  </numFmts>
  <fonts count="16">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color rgb="FFC00000"/>
      <name val="Arial"/>
      <family val="0"/>
      <charset val="1"/>
    </font>
    <font>
      <b val="true"/>
      <sz val="10"/>
      <name val="Arial"/>
      <family val="0"/>
      <charset val="1"/>
    </font>
    <font>
      <b val="true"/>
      <sz val="10"/>
      <color rgb="FF0000FF"/>
      <name val="Arial"/>
      <family val="0"/>
      <charset val="1"/>
    </font>
    <font>
      <sz val="10"/>
      <name val="Arial"/>
      <family val="0"/>
      <charset val="1"/>
    </font>
    <font>
      <b val="true"/>
      <sz val="11"/>
      <name val="Arial"/>
      <family val="0"/>
      <charset val="1"/>
    </font>
    <font>
      <b val="true"/>
      <sz val="10"/>
      <color rgb="FF2E8B57"/>
      <name val="Arial"/>
      <family val="0"/>
      <charset val="1"/>
    </font>
    <font>
      <b val="true"/>
      <sz val="10"/>
      <color rgb="FF2F75B5"/>
      <name val="Arial"/>
      <family val="0"/>
      <charset val="1"/>
    </font>
    <font>
      <b val="true"/>
      <sz val="10"/>
      <color rgb="FFE69138"/>
      <name val="Arial"/>
      <family val="0"/>
      <charset val="1"/>
    </font>
    <font>
      <b val="true"/>
      <sz val="10"/>
      <color rgb="FFFFFFFF"/>
      <name val="Arial"/>
      <family val="0"/>
      <charset val="1"/>
    </font>
    <font>
      <sz val="10"/>
      <name val="Arial"/>
      <family val="2"/>
    </font>
    <font>
      <b val="true"/>
      <sz val="10"/>
      <color rgb="FFC00000"/>
      <name val="Arial"/>
      <family val="0"/>
      <charset val="1"/>
    </font>
  </fonts>
  <fills count="6">
    <fill>
      <patternFill patternType="none"/>
    </fill>
    <fill>
      <patternFill patternType="gray125"/>
    </fill>
    <fill>
      <patternFill patternType="solid">
        <fgColor rgb="FFFFFF00"/>
        <bgColor rgb="FFFFFF00"/>
      </patternFill>
    </fill>
    <fill>
      <patternFill patternType="solid">
        <fgColor rgb="FF1F6F43"/>
        <bgColor rgb="FF2E8B57"/>
      </patternFill>
    </fill>
    <fill>
      <patternFill patternType="solid">
        <fgColor rgb="FF1F4E79"/>
        <bgColor rgb="FF003366"/>
      </patternFill>
    </fill>
    <fill>
      <patternFill patternType="solid">
        <fgColor rgb="FFB45F06"/>
        <bgColor rgb="FF808000"/>
      </patternFill>
    </fill>
  </fills>
  <borders count="2">
    <border diagonalUp="false" diagonalDown="false">
      <left/>
      <right/>
      <top/>
      <bottom/>
      <diagonal/>
    </border>
    <border diagonalUp="false" diagonalDown="false">
      <left/>
      <right/>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5" fontId="7"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3" fillId="3" borderId="0" xfId="0" applyFont="true" applyBorder="fals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13" fillId="4" borderId="0" xfId="0" applyFont="true" applyBorder="false" applyAlignment="true" applyProtection="false">
      <alignment horizontal="general" vertical="center" textRotation="0" wrapText="true" indent="0" shrinkToFit="false"/>
      <protection locked="true" hidden="false"/>
    </xf>
    <xf numFmtId="167" fontId="8" fillId="0" borderId="1" xfId="0" applyFont="true" applyBorder="true" applyAlignment="true" applyProtection="false">
      <alignment horizontal="general" vertical="top" textRotation="0" wrapText="false" indent="0" shrinkToFit="false"/>
      <protection locked="true" hidden="false"/>
    </xf>
    <xf numFmtId="168" fontId="8" fillId="0" borderId="1" xfId="0" applyFont="true" applyBorder="true" applyAlignment="true" applyProtection="false">
      <alignment horizontal="general" vertical="top" textRotation="0" wrapText="false" indent="0" shrinkToFit="false"/>
      <protection locked="true" hidden="false"/>
    </xf>
    <xf numFmtId="169" fontId="8" fillId="0" borderId="1" xfId="0" applyFont="true" applyBorder="true" applyAlignment="true" applyProtection="false">
      <alignment horizontal="general" vertical="top" textRotation="0" wrapText="false" indent="0" shrinkToFit="false"/>
      <protection locked="true" hidden="false"/>
    </xf>
    <xf numFmtId="170" fontId="8" fillId="0" borderId="1" xfId="0" applyFont="true" applyBorder="true" applyAlignment="true" applyProtection="false">
      <alignment horizontal="general" vertical="top" textRotation="0" wrapText="false" indent="0" shrinkToFit="false"/>
      <protection locked="true" hidden="false"/>
    </xf>
    <xf numFmtId="171" fontId="8" fillId="0" borderId="1" xfId="0" applyFont="true" applyBorder="true" applyAlignment="true" applyProtection="false">
      <alignment horizontal="general" vertical="top" textRotation="0" wrapText="false" indent="0" shrinkToFit="false"/>
      <protection locked="true" hidden="false"/>
    </xf>
    <xf numFmtId="164" fontId="15" fillId="0" borderId="1" xfId="0" applyFont="true" applyBorder="true" applyAlignment="true" applyProtection="false">
      <alignment horizontal="general" vertical="top" textRotation="0" wrapText="false" indent="0" shrinkToFit="false"/>
      <protection locked="true" hidden="false"/>
    </xf>
    <xf numFmtId="164" fontId="13" fillId="5" borderId="0" xfId="0" applyFont="true" applyBorder="fals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6F43"/>
          <bgColor rgb="FF000000"/>
        </patternFill>
      </fill>
    </dxf>
    <dxf>
      <fill>
        <patternFill patternType="solid">
          <bgColor rgb="FF000000"/>
        </patternFill>
      </fill>
    </dxf>
    <dxf>
      <fill>
        <patternFill patternType="solid">
          <fgColor rgb="FFFFFFFF"/>
          <bgColor rgb="FF000000"/>
        </patternFill>
      </fill>
    </dxf>
    <dxf>
      <fill>
        <patternFill patternType="solid">
          <fgColor rgb="FF1F4E79"/>
          <bgColor rgb="FF000000"/>
        </patternFill>
      </fill>
    </dxf>
    <dxf>
      <fill>
        <patternFill patternType="solid">
          <fgColor rgb="FFC00000"/>
          <bgColor rgb="FF000000"/>
        </patternFill>
      </fill>
    </dxf>
    <dxf>
      <fill>
        <patternFill patternType="solid">
          <fgColor rgb="FFB45F06"/>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1F6F43"/>
      <rgbColor rgb="FFC0C0C0"/>
      <rgbColor rgb="FF7F7F7F"/>
      <rgbColor rgb="FF9999FF"/>
      <rgbColor rgb="FF993366"/>
      <rgbColor rgb="FFFFFFCC"/>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F75B5"/>
      <rgbColor rgb="FF33CCCC"/>
      <rgbColor rgb="FF99CC00"/>
      <rgbColor rgb="FFFFCC00"/>
      <rgbColor rgb="FFE69138"/>
      <rgbColor rgb="FFFF6600"/>
      <rgbColor rgb="FF666699"/>
      <rgbColor rgb="FF969696"/>
      <rgbColor rgb="FF003366"/>
      <rgbColor rgb="FF2E8B57"/>
      <rgbColor rgb="FF003300"/>
      <rgbColor rgb="FF333300"/>
      <rgbColor rgb="FFB45F06"/>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0.xml"/><Relationship Id="rId3" Type="http://schemas.openxmlformats.org/officeDocument/2006/relationships/vmlDrawing" Target="../drawings/vmlDrawing1.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1.xml"/><Relationship Id="rId3" Type="http://schemas.openxmlformats.org/officeDocument/2006/relationships/vmlDrawing" Target="../drawings/vmlDrawing2.vml"/>
</Relationships>
</file>

<file path=xl/worksheets/_rels/sheet13.xml.rels><?xml version="1.0" encoding="UTF-8"?>
<Relationships xmlns="http://schemas.openxmlformats.org/package/2006/relationships"><Relationship Id="rId1" Type="http://schemas.openxmlformats.org/officeDocument/2006/relationships/drawing" Target="../drawings/drawing12.xml"/>
</Relationships>
</file>

<file path=xl/worksheets/_rels/sheet14.xml.rels><?xml version="1.0" encoding="UTF-8"?>
<Relationships xmlns="http://schemas.openxmlformats.org/package/2006/relationships"><Relationship Id="rId1" Type="http://schemas.openxmlformats.org/officeDocument/2006/relationships/drawing" Target="../drawings/drawing13.x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4.xml"/><Relationship Id="rId3" Type="http://schemas.openxmlformats.org/officeDocument/2006/relationships/vmlDrawing" Target="../drawings/vmlDrawing3.vml"/>
</Relationships>
</file>

<file path=xl/worksheets/_rels/sheet16.xml.rels><?xml version="1.0" encoding="UTF-8"?>
<Relationships xmlns="http://schemas.openxmlformats.org/package/2006/relationships"><Relationship Id="rId1" Type="http://schemas.openxmlformats.org/officeDocument/2006/relationships/drawing" Target="../drawings/drawing15.xml"/>
</Relationships>
</file>

<file path=xl/worksheets/_rels/sheet17.xml.rels><?xml version="1.0" encoding="UTF-8"?>
<Relationships xmlns="http://schemas.openxmlformats.org/package/2006/relationships"><Relationship Id="rId1" Type="http://schemas.openxmlformats.org/officeDocument/2006/relationships/drawing" Target="../drawings/drawing16.xml"/>
</Relationships>
</file>

<file path=xl/worksheets/_rels/sheet18.xml.rels><?xml version="1.0" encoding="UTF-8"?>
<Relationships xmlns="http://schemas.openxmlformats.org/package/2006/relationships"><Relationship Id="rId1" Type="http://schemas.openxmlformats.org/officeDocument/2006/relationships/drawing" Target="../drawings/drawing17.xml"/>
</Relationships>
</file>

<file path=xl/worksheets/_rels/sheet19.xml.rels><?xml version="1.0" encoding="UTF-8"?>
<Relationships xmlns="http://schemas.openxmlformats.org/package/2006/relationships"><Relationship Id="rId1" Type="http://schemas.openxmlformats.org/officeDocument/2006/relationships/drawing" Target="../drawings/drawing1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B1:D5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110"/>
    <col collapsed="false" customWidth="true" hidden="false" outlineLevel="0" max="4" min="4" style="0" width="8"/>
  </cols>
  <sheetData>
    <row r="1" customFormat="false" ht="48.5" hidden="false" customHeight="false" outlineLevel="0" collapsed="false">
      <c r="B1" s="1" t="s">
        <v>0</v>
      </c>
    </row>
    <row r="2" customFormat="false" ht="46.25" hidden="false" customHeight="false" outlineLevel="0" collapsed="false">
      <c r="B2" s="2" t="s">
        <v>1</v>
      </c>
    </row>
    <row r="4" customFormat="false" ht="15" hidden="false" customHeight="false" outlineLevel="0" collapsed="false">
      <c r="B4" s="3" t="s">
        <v>2</v>
      </c>
      <c r="C4" s="4" t="n">
        <v>46322</v>
      </c>
    </row>
    <row r="5" customFormat="false" ht="15" hidden="false" customHeight="false" outlineLevel="0" collapsed="false">
      <c r="B5" s="5"/>
      <c r="C5" s="5" t="s">
        <v>3</v>
      </c>
    </row>
    <row r="7" customFormat="false" ht="15" hidden="false" customHeight="false" outlineLevel="0" collapsed="false">
      <c r="B7" s="3" t="s">
        <v>4</v>
      </c>
    </row>
    <row r="8" customFormat="false" ht="15" hidden="false" customHeight="false" outlineLevel="0" collapsed="false">
      <c r="B8" s="3" t="s">
        <v>5</v>
      </c>
      <c r="C8" s="5" t="s">
        <v>6</v>
      </c>
    </row>
    <row r="9" customFormat="false" ht="23.85" hidden="false" customHeight="false" outlineLevel="0" collapsed="false">
      <c r="B9" s="3" t="s">
        <v>7</v>
      </c>
      <c r="C9" s="5" t="s">
        <v>8</v>
      </c>
    </row>
    <row r="10" customFormat="false" ht="23.85" hidden="false" customHeight="false" outlineLevel="0" collapsed="false">
      <c r="B10" s="3" t="s">
        <v>9</v>
      </c>
      <c r="C10" s="5" t="s">
        <v>10</v>
      </c>
    </row>
    <row r="11" customFormat="false" ht="23.85" hidden="false" customHeight="false" outlineLevel="0" collapsed="false">
      <c r="B11" s="3" t="s">
        <v>11</v>
      </c>
      <c r="C11" s="5" t="s">
        <v>12</v>
      </c>
    </row>
    <row r="12" customFormat="false" ht="15" hidden="false" customHeight="false" outlineLevel="0" collapsed="false">
      <c r="B12" s="3" t="s">
        <v>13</v>
      </c>
      <c r="C12" s="5" t="s">
        <v>14</v>
      </c>
    </row>
    <row r="13" customFormat="false" ht="23.85" hidden="false" customHeight="false" outlineLevel="0" collapsed="false">
      <c r="B13" s="3" t="s">
        <v>15</v>
      </c>
      <c r="C13" s="5" t="s">
        <v>16</v>
      </c>
    </row>
    <row r="14" customFormat="false" ht="15" hidden="false" customHeight="false" outlineLevel="0" collapsed="false">
      <c r="B14" s="3" t="s">
        <v>17</v>
      </c>
      <c r="C14" s="5" t="s">
        <v>18</v>
      </c>
    </row>
    <row r="15" customFormat="false" ht="23.85" hidden="false" customHeight="false" outlineLevel="0" collapsed="false">
      <c r="B15" s="3" t="s">
        <v>19</v>
      </c>
      <c r="C15" s="5" t="s">
        <v>20</v>
      </c>
    </row>
    <row r="16" customFormat="false" ht="23.85" hidden="false" customHeight="false" outlineLevel="0" collapsed="false">
      <c r="B16" s="3" t="s">
        <v>21</v>
      </c>
      <c r="C16" s="5" t="s">
        <v>22</v>
      </c>
    </row>
    <row r="17" customFormat="false" ht="23.85" hidden="false" customHeight="false" outlineLevel="0" collapsed="false">
      <c r="B17" s="3" t="s">
        <v>23</v>
      </c>
      <c r="C17" s="5" t="s">
        <v>24</v>
      </c>
    </row>
    <row r="19" customFormat="false" ht="15" hidden="false" customHeight="false" outlineLevel="0" collapsed="false">
      <c r="B19" s="3" t="s">
        <v>25</v>
      </c>
    </row>
    <row r="20" customFormat="false" ht="23.85" hidden="false" customHeight="false" outlineLevel="0" collapsed="false">
      <c r="B20" s="5"/>
      <c r="C20" s="5" t="s">
        <v>26</v>
      </c>
    </row>
    <row r="22" customFormat="false" ht="15" hidden="false" customHeight="false" outlineLevel="0" collapsed="false">
      <c r="B22" s="3" t="s">
        <v>27</v>
      </c>
    </row>
    <row r="23" customFormat="false" ht="15" hidden="false" customHeight="false" outlineLevel="0" collapsed="false">
      <c r="B23" s="3" t="s">
        <v>28</v>
      </c>
      <c r="C23" s="5" t="s">
        <v>29</v>
      </c>
      <c r="D23" s="6" t="s">
        <v>30</v>
      </c>
    </row>
    <row r="24" customFormat="false" ht="15" hidden="false" customHeight="false" outlineLevel="0" collapsed="false">
      <c r="B24" s="7" t="s">
        <v>31</v>
      </c>
      <c r="C24" s="5" t="s">
        <v>32</v>
      </c>
      <c r="D24" s="8" t="n">
        <f aca="false">COUNTA(Animal_Types!A:A)-1</f>
        <v>14</v>
      </c>
    </row>
    <row r="25" customFormat="false" ht="15" hidden="false" customHeight="false" outlineLevel="0" collapsed="false">
      <c r="B25" s="7" t="s">
        <v>33</v>
      </c>
      <c r="C25" s="5" t="s">
        <v>34</v>
      </c>
      <c r="D25" s="8" t="n">
        <f aca="false">COUNTA(Life_Stages!A:A)-1</f>
        <v>26</v>
      </c>
    </row>
    <row r="26" customFormat="false" ht="15" hidden="false" customHeight="false" outlineLevel="0" collapsed="false">
      <c r="B26" s="7" t="s">
        <v>35</v>
      </c>
      <c r="C26" s="5" t="s">
        <v>36</v>
      </c>
      <c r="D26" s="8" t="n">
        <f aca="false">COUNTA(Categories!A:A)-1</f>
        <v>38</v>
      </c>
    </row>
    <row r="27" customFormat="false" ht="15" hidden="false" customHeight="false" outlineLevel="0" collapsed="false">
      <c r="B27" s="7" t="s">
        <v>37</v>
      </c>
      <c r="C27" s="5" t="s">
        <v>38</v>
      </c>
      <c r="D27" s="8" t="n">
        <f aca="false">COUNTA(Attributes!A:A)-1</f>
        <v>44</v>
      </c>
    </row>
    <row r="28" customFormat="false" ht="15" hidden="false" customHeight="false" outlineLevel="0" collapsed="false">
      <c r="B28" s="7" t="s">
        <v>39</v>
      </c>
      <c r="C28" s="5" t="s">
        <v>40</v>
      </c>
      <c r="D28" s="8" t="n">
        <f aca="false">COUNTA(Attribute_Values!A:A)-1</f>
        <v>118</v>
      </c>
    </row>
    <row r="29" customFormat="false" ht="15" hidden="false" customHeight="false" outlineLevel="0" collapsed="false">
      <c r="B29" s="7" t="s">
        <v>41</v>
      </c>
      <c r="C29" s="5" t="s">
        <v>42</v>
      </c>
      <c r="D29" s="8" t="n">
        <f aca="false">COUNTA(Search_Keywords!A:A)-1</f>
        <v>75</v>
      </c>
    </row>
    <row r="30" customFormat="false" ht="15" hidden="false" customHeight="false" outlineLevel="0" collapsed="false">
      <c r="B30" s="9" t="s">
        <v>43</v>
      </c>
      <c r="C30" s="5" t="s">
        <v>44</v>
      </c>
      <c r="D30" s="8" t="n">
        <f aca="false">COUNTA(Brands!A:A)-1</f>
        <v>24</v>
      </c>
    </row>
    <row r="31" customFormat="false" ht="15" hidden="false" customHeight="false" outlineLevel="0" collapsed="false">
      <c r="B31" s="9" t="s">
        <v>45</v>
      </c>
      <c r="C31" s="5" t="s">
        <v>46</v>
      </c>
      <c r="D31" s="8" t="n">
        <f aca="false">COUNTA(Sellers!A:A)-1</f>
        <v>12</v>
      </c>
    </row>
    <row r="32" customFormat="false" ht="15" hidden="false" customHeight="false" outlineLevel="0" collapsed="false">
      <c r="B32" s="9" t="s">
        <v>47</v>
      </c>
      <c r="C32" s="5" t="s">
        <v>48</v>
      </c>
      <c r="D32" s="8" t="n">
        <f aca="false">COUNTA(Regions!A:A)-1</f>
        <v>5</v>
      </c>
    </row>
    <row r="33" customFormat="false" ht="15" hidden="false" customHeight="false" outlineLevel="0" collapsed="false">
      <c r="B33" s="9" t="s">
        <v>49</v>
      </c>
      <c r="C33" s="5" t="s">
        <v>50</v>
      </c>
      <c r="D33" s="8" t="n">
        <f aca="false">COUNTA(Stores!A:A)-1</f>
        <v>6</v>
      </c>
    </row>
    <row r="34" customFormat="false" ht="15" hidden="false" customHeight="false" outlineLevel="0" collapsed="false">
      <c r="B34" s="9" t="s">
        <v>51</v>
      </c>
      <c r="C34" s="5" t="s">
        <v>52</v>
      </c>
      <c r="D34" s="8" t="n">
        <f aca="false">COUNTA(Products!A:A)-1</f>
        <v>115</v>
      </c>
    </row>
    <row r="35" customFormat="false" ht="15" hidden="false" customHeight="false" outlineLevel="0" collapsed="false">
      <c r="B35" s="9" t="s">
        <v>53</v>
      </c>
      <c r="C35" s="5" t="s">
        <v>54</v>
      </c>
      <c r="D35" s="8" t="n">
        <f aca="false">COUNTA(Variants!A:A)-1</f>
        <v>150</v>
      </c>
    </row>
    <row r="36" customFormat="false" ht="15" hidden="false" customHeight="false" outlineLevel="0" collapsed="false">
      <c r="B36" s="9" t="s">
        <v>55</v>
      </c>
      <c r="C36" s="5" t="s">
        <v>56</v>
      </c>
      <c r="D36" s="8" t="n">
        <f aca="false">COUNTA(Store_Inventory!A:A)-1</f>
        <v>605</v>
      </c>
    </row>
    <row r="37" customFormat="false" ht="15" hidden="false" customHeight="false" outlineLevel="0" collapsed="false">
      <c r="B37" s="9" t="s">
        <v>57</v>
      </c>
      <c r="C37" s="5" t="s">
        <v>58</v>
      </c>
      <c r="D37" s="8" t="n">
        <f aca="false">COUNTA(Hatch_Schedule!A:A)-1</f>
        <v>87</v>
      </c>
    </row>
    <row r="38" customFormat="false" ht="15" hidden="false" customHeight="false" outlineLevel="0" collapsed="false">
      <c r="B38" s="10" t="s">
        <v>59</v>
      </c>
      <c r="C38" s="5" t="s">
        <v>60</v>
      </c>
      <c r="D38" s="8" t="n">
        <f aca="false">COUNTA(Map_Categories!A:A)-1</f>
        <v>25</v>
      </c>
    </row>
    <row r="39" customFormat="false" ht="15" hidden="false" customHeight="false" outlineLevel="0" collapsed="false">
      <c r="B39" s="10" t="s">
        <v>61</v>
      </c>
      <c r="C39" s="5" t="s">
        <v>62</v>
      </c>
      <c r="D39" s="8" t="n">
        <f aca="false">COUNTA(Map_Live_Products!A:A)-1</f>
        <v>15</v>
      </c>
    </row>
    <row r="40" customFormat="false" ht="15" hidden="false" customHeight="false" outlineLevel="0" collapsed="false">
      <c r="B40" s="10" t="s">
        <v>63</v>
      </c>
      <c r="C40" s="5" t="s">
        <v>64</v>
      </c>
      <c r="D40" s="8" t="n">
        <f aca="false">COUNTA(Map_Stores_Sellers!A:A)-1</f>
        <v>7</v>
      </c>
    </row>
    <row r="41" customFormat="false" ht="23.85" hidden="false" customHeight="false" outlineLevel="0" collapsed="false">
      <c r="B41" s="10" t="s">
        <v>65</v>
      </c>
      <c r="C41" s="5" t="s">
        <v>66</v>
      </c>
      <c r="D41" s="8" t="n">
        <f aca="false">COUNTA(Map_Oda_Chicks!A:A)-1</f>
        <v>10</v>
      </c>
    </row>
    <row r="43" customFormat="false" ht="15" hidden="false" customHeight="false" outlineLevel="0" collapsed="false">
      <c r="B43" s="3" t="s">
        <v>67</v>
      </c>
    </row>
    <row r="44" customFormat="false" ht="23.85" hidden="false" customHeight="false" outlineLevel="0" collapsed="false">
      <c r="B44" s="3" t="s">
        <v>68</v>
      </c>
      <c r="C44" s="5" t="s">
        <v>69</v>
      </c>
    </row>
    <row r="45" customFormat="false" ht="23.85" hidden="false" customHeight="false" outlineLevel="0" collapsed="false">
      <c r="B45" s="3" t="s">
        <v>70</v>
      </c>
      <c r="C45" s="5" t="s">
        <v>71</v>
      </c>
    </row>
    <row r="46" customFormat="false" ht="23.85" hidden="false" customHeight="false" outlineLevel="0" collapsed="false">
      <c r="B46" s="3" t="s">
        <v>72</v>
      </c>
      <c r="C46" s="5" t="s">
        <v>73</v>
      </c>
    </row>
    <row r="47" customFormat="false" ht="15" hidden="false" customHeight="false" outlineLevel="0" collapsed="false">
      <c r="B47" s="3" t="s">
        <v>74</v>
      </c>
      <c r="C47" s="5" t="s">
        <v>75</v>
      </c>
    </row>
    <row r="48" customFormat="false" ht="23.85" hidden="false" customHeight="false" outlineLevel="0" collapsed="false">
      <c r="B48" s="3" t="s">
        <v>76</v>
      </c>
      <c r="C48" s="5" t="s">
        <v>77</v>
      </c>
    </row>
    <row r="49" customFormat="false" ht="15" hidden="false" customHeight="false" outlineLevel="0" collapsed="false">
      <c r="B49" s="3" t="s">
        <v>78</v>
      </c>
      <c r="C49" s="5" t="s">
        <v>79</v>
      </c>
    </row>
    <row r="50" customFormat="false" ht="23.85" hidden="false" customHeight="false" outlineLevel="0" collapsed="false">
      <c r="B50" s="3" t="s">
        <v>80</v>
      </c>
      <c r="C50" s="5" t="s">
        <v>81</v>
      </c>
    </row>
    <row r="51" customFormat="false" ht="15" hidden="false" customHeight="false" outlineLevel="0" collapsed="false">
      <c r="B51" s="3" t="s">
        <v>82</v>
      </c>
      <c r="C51" s="5" t="s">
        <v>83</v>
      </c>
    </row>
    <row r="52" customFormat="false" ht="23.85" hidden="false" customHeight="false" outlineLevel="0" collapsed="false">
      <c r="B52" s="3" t="s">
        <v>84</v>
      </c>
      <c r="C52" s="5" t="s">
        <v>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8B57"/>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18"/>
    <col collapsed="false" customWidth="true" hidden="false" outlineLevel="0" max="4" min="4" style="0" width="52"/>
    <col collapsed="false" customWidth="true" hidden="false" outlineLevel="0" max="5" min="5" style="0" width="39"/>
    <col collapsed="false" customWidth="true" hidden="false" outlineLevel="0" max="6" min="6" style="0" width="16"/>
    <col collapsed="false" customWidth="true" hidden="false" outlineLevel="0" max="7" min="7" style="0" width="60"/>
  </cols>
  <sheetData>
    <row r="1" customFormat="false" ht="31.5" hidden="false" customHeight="true" outlineLevel="0" collapsed="false">
      <c r="A1" s="11" t="s">
        <v>86</v>
      </c>
      <c r="B1" s="11" t="s">
        <v>87</v>
      </c>
      <c r="C1" s="11" t="s">
        <v>88</v>
      </c>
      <c r="D1" s="11" t="s">
        <v>89</v>
      </c>
      <c r="E1" s="11" t="s">
        <v>90</v>
      </c>
      <c r="F1" s="11" t="s">
        <v>91</v>
      </c>
      <c r="G1" s="11" t="s">
        <v>92</v>
      </c>
    </row>
    <row r="2" customFormat="false" ht="15" hidden="false" customHeight="false" outlineLevel="0" collapsed="false">
      <c r="A2" s="12" t="s">
        <v>93</v>
      </c>
      <c r="B2" s="12"/>
      <c r="C2" s="12" t="s">
        <v>94</v>
      </c>
      <c r="D2" s="12" t="s">
        <v>95</v>
      </c>
      <c r="E2" s="12" t="s">
        <v>96</v>
      </c>
      <c r="F2" s="12" t="s">
        <v>97</v>
      </c>
      <c r="G2" s="12" t="s">
        <v>98</v>
      </c>
    </row>
    <row r="3" customFormat="false" ht="15" hidden="false" customHeight="false" outlineLevel="0" collapsed="false">
      <c r="A3" s="12" t="s">
        <v>99</v>
      </c>
      <c r="B3" s="12" t="s">
        <v>93</v>
      </c>
      <c r="C3" s="12" t="s">
        <v>100</v>
      </c>
      <c r="D3" s="12" t="s">
        <v>101</v>
      </c>
      <c r="E3" s="12" t="s">
        <v>102</v>
      </c>
      <c r="F3" s="12" t="s">
        <v>97</v>
      </c>
      <c r="G3" s="12" t="s">
        <v>103</v>
      </c>
    </row>
    <row r="4" customFormat="false" ht="15" hidden="false" customHeight="false" outlineLevel="0" collapsed="false">
      <c r="A4" s="12" t="s">
        <v>104</v>
      </c>
      <c r="B4" s="12" t="s">
        <v>93</v>
      </c>
      <c r="C4" s="12" t="s">
        <v>105</v>
      </c>
      <c r="D4" s="12" t="s">
        <v>106</v>
      </c>
      <c r="E4" s="12" t="s">
        <v>107</v>
      </c>
      <c r="F4" s="12" t="s">
        <v>97</v>
      </c>
      <c r="G4" s="12"/>
    </row>
    <row r="5" customFormat="false" ht="15" hidden="false" customHeight="false" outlineLevel="0" collapsed="false">
      <c r="A5" s="12" t="s">
        <v>108</v>
      </c>
      <c r="B5" s="12"/>
      <c r="C5" s="12" t="s">
        <v>109</v>
      </c>
      <c r="D5" s="12" t="s">
        <v>110</v>
      </c>
      <c r="E5" s="12" t="s">
        <v>111</v>
      </c>
      <c r="F5" s="12" t="s">
        <v>97</v>
      </c>
      <c r="G5" s="12" t="s">
        <v>112</v>
      </c>
    </row>
    <row r="6" customFormat="false" ht="15" hidden="false" customHeight="false" outlineLevel="0" collapsed="false">
      <c r="A6" s="12" t="s">
        <v>113</v>
      </c>
      <c r="B6" s="12" t="s">
        <v>108</v>
      </c>
      <c r="C6" s="12" t="s">
        <v>114</v>
      </c>
      <c r="D6" s="12" t="s">
        <v>115</v>
      </c>
      <c r="E6" s="12" t="s">
        <v>116</v>
      </c>
      <c r="F6" s="12" t="s">
        <v>117</v>
      </c>
      <c r="G6" s="12" t="s">
        <v>118</v>
      </c>
    </row>
    <row r="7" customFormat="false" ht="15" hidden="false" customHeight="false" outlineLevel="0" collapsed="false">
      <c r="A7" s="12" t="s">
        <v>119</v>
      </c>
      <c r="B7" s="12" t="s">
        <v>108</v>
      </c>
      <c r="C7" s="12" t="s">
        <v>120</v>
      </c>
      <c r="D7" s="12" t="s">
        <v>121</v>
      </c>
      <c r="E7" s="12" t="s">
        <v>122</v>
      </c>
      <c r="F7" s="12" t="s">
        <v>117</v>
      </c>
      <c r="G7" s="12" t="s">
        <v>123</v>
      </c>
    </row>
    <row r="8" customFormat="false" ht="15" hidden="false" customHeight="false" outlineLevel="0" collapsed="false">
      <c r="A8" s="12" t="s">
        <v>124</v>
      </c>
      <c r="B8" s="12"/>
      <c r="C8" s="12" t="s">
        <v>125</v>
      </c>
      <c r="D8" s="12" t="s">
        <v>126</v>
      </c>
      <c r="E8" s="12" t="s">
        <v>127</v>
      </c>
      <c r="F8" s="12" t="s">
        <v>97</v>
      </c>
      <c r="G8" s="12" t="s">
        <v>128</v>
      </c>
    </row>
    <row r="9" customFormat="false" ht="15" hidden="false" customHeight="false" outlineLevel="0" collapsed="false">
      <c r="A9" s="12" t="s">
        <v>129</v>
      </c>
      <c r="B9" s="12" t="s">
        <v>124</v>
      </c>
      <c r="C9" s="12" t="s">
        <v>130</v>
      </c>
      <c r="D9" s="12" t="s">
        <v>131</v>
      </c>
      <c r="E9" s="12" t="s">
        <v>132</v>
      </c>
      <c r="F9" s="12" t="s">
        <v>117</v>
      </c>
      <c r="G9" s="12"/>
    </row>
    <row r="10" customFormat="false" ht="15" hidden="false" customHeight="false" outlineLevel="0" collapsed="false">
      <c r="A10" s="12" t="s">
        <v>133</v>
      </c>
      <c r="B10" s="12" t="s">
        <v>124</v>
      </c>
      <c r="C10" s="12" t="s">
        <v>134</v>
      </c>
      <c r="D10" s="12" t="s">
        <v>135</v>
      </c>
      <c r="E10" s="12" t="s">
        <v>136</v>
      </c>
      <c r="F10" s="12" t="s">
        <v>117</v>
      </c>
      <c r="G10" s="12"/>
    </row>
    <row r="11" customFormat="false" ht="15" hidden="false" customHeight="false" outlineLevel="0" collapsed="false">
      <c r="A11" s="12" t="s">
        <v>137</v>
      </c>
      <c r="B11" s="12"/>
      <c r="C11" s="12" t="s">
        <v>138</v>
      </c>
      <c r="D11" s="12" t="s">
        <v>139</v>
      </c>
      <c r="E11" s="12" t="s">
        <v>140</v>
      </c>
      <c r="F11" s="12" t="s">
        <v>97</v>
      </c>
      <c r="G11" s="12"/>
    </row>
    <row r="12" customFormat="false" ht="15" hidden="false" customHeight="false" outlineLevel="0" collapsed="false">
      <c r="A12" s="12" t="s">
        <v>141</v>
      </c>
      <c r="B12" s="12"/>
      <c r="C12" s="12" t="s">
        <v>142</v>
      </c>
      <c r="D12" s="12" t="s">
        <v>143</v>
      </c>
      <c r="E12" s="12" t="s">
        <v>144</v>
      </c>
      <c r="F12" s="12" t="s">
        <v>97</v>
      </c>
      <c r="G12" s="12" t="s">
        <v>128</v>
      </c>
    </row>
    <row r="13" customFormat="false" ht="15" hidden="false" customHeight="false" outlineLevel="0" collapsed="false">
      <c r="A13" s="12" t="s">
        <v>145</v>
      </c>
      <c r="B13" s="12" t="s">
        <v>141</v>
      </c>
      <c r="C13" s="12" t="s">
        <v>146</v>
      </c>
      <c r="D13" s="12" t="s">
        <v>147</v>
      </c>
      <c r="E13" s="12" t="s">
        <v>148</v>
      </c>
      <c r="F13" s="12" t="s">
        <v>117</v>
      </c>
      <c r="G13" s="12"/>
    </row>
    <row r="14" customFormat="false" ht="15" hidden="false" customHeight="false" outlineLevel="0" collapsed="false">
      <c r="A14" s="12" t="s">
        <v>149</v>
      </c>
      <c r="B14" s="12" t="s">
        <v>141</v>
      </c>
      <c r="C14" s="12" t="s">
        <v>150</v>
      </c>
      <c r="D14" s="12" t="s">
        <v>151</v>
      </c>
      <c r="E14" s="12" t="s">
        <v>152</v>
      </c>
      <c r="F14" s="12" t="s">
        <v>117</v>
      </c>
      <c r="G14" s="12"/>
    </row>
    <row r="15" customFormat="false" ht="15" hidden="false" customHeight="false" outlineLevel="0" collapsed="false">
      <c r="A15" s="12" t="s">
        <v>153</v>
      </c>
      <c r="B15" s="12"/>
      <c r="C15" s="12" t="s">
        <v>154</v>
      </c>
      <c r="D15" s="12" t="s">
        <v>155</v>
      </c>
      <c r="E15" s="12" t="s">
        <v>156</v>
      </c>
      <c r="F15" s="12" t="s">
        <v>97</v>
      </c>
      <c r="G15" s="12"/>
    </row>
  </sheetData>
  <autoFilter ref="A1:G1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8B57"/>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22"/>
    <col collapsed="false" customWidth="true" hidden="false" outlineLevel="0" max="3" min="3" style="0" width="12"/>
    <col collapsed="false" customWidth="true" hidden="false" outlineLevel="0" max="4" min="4" style="0" width="30"/>
    <col collapsed="false" customWidth="true" hidden="false" outlineLevel="0" max="5" min="5" style="0" width="28"/>
    <col collapsed="false" customWidth="true" hidden="false" outlineLevel="0" max="6" min="6" style="0" width="12"/>
    <col collapsed="false" customWidth="true" hidden="false" outlineLevel="0" max="7" min="7" style="0" width="60"/>
  </cols>
  <sheetData>
    <row r="1" customFormat="false" ht="31.5" hidden="false" customHeight="true" outlineLevel="0" collapsed="false">
      <c r="A1" s="11" t="s">
        <v>157</v>
      </c>
      <c r="B1" s="11" t="s">
        <v>158</v>
      </c>
      <c r="C1" s="11" t="s">
        <v>88</v>
      </c>
      <c r="D1" s="11" t="s">
        <v>89</v>
      </c>
      <c r="E1" s="11" t="s">
        <v>90</v>
      </c>
      <c r="F1" s="11" t="s">
        <v>159</v>
      </c>
      <c r="G1" s="11" t="s">
        <v>92</v>
      </c>
    </row>
    <row r="2" customFormat="false" ht="15" hidden="false" customHeight="false" outlineLevel="0" collapsed="false">
      <c r="A2" s="12" t="s">
        <v>160</v>
      </c>
      <c r="B2" s="12" t="s">
        <v>161</v>
      </c>
      <c r="C2" s="12" t="s">
        <v>162</v>
      </c>
      <c r="D2" s="12" t="s">
        <v>163</v>
      </c>
      <c r="E2" s="12" t="s">
        <v>164</v>
      </c>
      <c r="F2" s="12" t="n">
        <v>0</v>
      </c>
      <c r="G2" s="12" t="s">
        <v>165</v>
      </c>
    </row>
    <row r="3" customFormat="false" ht="15" hidden="false" customHeight="false" outlineLevel="0" collapsed="false">
      <c r="A3" s="12" t="s">
        <v>166</v>
      </c>
      <c r="B3" s="12" t="s">
        <v>93</v>
      </c>
      <c r="C3" s="12" t="s">
        <v>167</v>
      </c>
      <c r="D3" s="12" t="s">
        <v>168</v>
      </c>
      <c r="E3" s="12" t="s">
        <v>169</v>
      </c>
      <c r="F3" s="12" t="n">
        <v>1</v>
      </c>
      <c r="G3" s="12"/>
    </row>
    <row r="4" customFormat="false" ht="15" hidden="false" customHeight="false" outlineLevel="0" collapsed="false">
      <c r="A4" s="12" t="s">
        <v>170</v>
      </c>
      <c r="B4" s="12" t="s">
        <v>93</v>
      </c>
      <c r="C4" s="12" t="s">
        <v>171</v>
      </c>
      <c r="D4" s="12" t="s">
        <v>172</v>
      </c>
      <c r="E4" s="12" t="s">
        <v>173</v>
      </c>
      <c r="F4" s="12" t="n">
        <v>2</v>
      </c>
      <c r="G4" s="12" t="s">
        <v>174</v>
      </c>
    </row>
    <row r="5" customFormat="false" ht="15" hidden="false" customHeight="false" outlineLevel="0" collapsed="false">
      <c r="A5" s="12" t="s">
        <v>175</v>
      </c>
      <c r="B5" s="12" t="s">
        <v>93</v>
      </c>
      <c r="C5" s="12" t="s">
        <v>176</v>
      </c>
      <c r="D5" s="12" t="s">
        <v>177</v>
      </c>
      <c r="E5" s="12" t="s">
        <v>178</v>
      </c>
      <c r="F5" s="12" t="n">
        <v>3</v>
      </c>
      <c r="G5" s="12"/>
    </row>
    <row r="6" customFormat="false" ht="15" hidden="false" customHeight="false" outlineLevel="0" collapsed="false">
      <c r="A6" s="12" t="s">
        <v>179</v>
      </c>
      <c r="B6" s="12" t="s">
        <v>93</v>
      </c>
      <c r="C6" s="12" t="s">
        <v>180</v>
      </c>
      <c r="D6" s="12" t="s">
        <v>181</v>
      </c>
      <c r="E6" s="12" t="s">
        <v>182</v>
      </c>
      <c r="F6" s="12" t="n">
        <v>4</v>
      </c>
      <c r="G6" s="12"/>
    </row>
    <row r="7" customFormat="false" ht="15" hidden="false" customHeight="false" outlineLevel="0" collapsed="false">
      <c r="A7" s="12" t="s">
        <v>183</v>
      </c>
      <c r="B7" s="12" t="s">
        <v>93</v>
      </c>
      <c r="C7" s="12" t="s">
        <v>184</v>
      </c>
      <c r="D7" s="12" t="s">
        <v>185</v>
      </c>
      <c r="E7" s="12" t="s">
        <v>186</v>
      </c>
      <c r="F7" s="12" t="n">
        <v>5</v>
      </c>
      <c r="G7" s="12"/>
    </row>
    <row r="8" customFormat="false" ht="15" hidden="false" customHeight="false" outlineLevel="0" collapsed="false">
      <c r="A8" s="12" t="s">
        <v>187</v>
      </c>
      <c r="B8" s="12" t="s">
        <v>137</v>
      </c>
      <c r="C8" s="12" t="s">
        <v>188</v>
      </c>
      <c r="D8" s="12" t="s">
        <v>189</v>
      </c>
      <c r="E8" s="12" t="s">
        <v>190</v>
      </c>
      <c r="F8" s="12" t="n">
        <v>1</v>
      </c>
      <c r="G8" s="12"/>
    </row>
    <row r="9" customFormat="false" ht="15" hidden="false" customHeight="false" outlineLevel="0" collapsed="false">
      <c r="A9" s="12" t="s">
        <v>191</v>
      </c>
      <c r="B9" s="12" t="s">
        <v>137</v>
      </c>
      <c r="C9" s="12" t="s">
        <v>192</v>
      </c>
      <c r="D9" s="12" t="s">
        <v>193</v>
      </c>
      <c r="E9" s="12" t="s">
        <v>194</v>
      </c>
      <c r="F9" s="12" t="n">
        <v>2</v>
      </c>
      <c r="G9" s="12"/>
    </row>
    <row r="10" customFormat="false" ht="15" hidden="false" customHeight="false" outlineLevel="0" collapsed="false">
      <c r="A10" s="12" t="s">
        <v>195</v>
      </c>
      <c r="B10" s="12" t="s">
        <v>137</v>
      </c>
      <c r="C10" s="12" t="s">
        <v>171</v>
      </c>
      <c r="D10" s="12" t="s">
        <v>172</v>
      </c>
      <c r="E10" s="12" t="s">
        <v>196</v>
      </c>
      <c r="F10" s="12" t="n">
        <v>3</v>
      </c>
      <c r="G10" s="12"/>
    </row>
    <row r="11" customFormat="false" ht="15" hidden="false" customHeight="false" outlineLevel="0" collapsed="false">
      <c r="A11" s="12" t="s">
        <v>197</v>
      </c>
      <c r="B11" s="12" t="s">
        <v>137</v>
      </c>
      <c r="C11" s="12" t="s">
        <v>176</v>
      </c>
      <c r="D11" s="12" t="s">
        <v>198</v>
      </c>
      <c r="E11" s="12" t="s">
        <v>199</v>
      </c>
      <c r="F11" s="12" t="n">
        <v>4</v>
      </c>
      <c r="G11" s="12"/>
    </row>
    <row r="12" customFormat="false" ht="15" hidden="false" customHeight="false" outlineLevel="0" collapsed="false">
      <c r="A12" s="12" t="s">
        <v>200</v>
      </c>
      <c r="B12" s="12" t="s">
        <v>137</v>
      </c>
      <c r="C12" s="12" t="s">
        <v>201</v>
      </c>
      <c r="D12" s="12" t="s">
        <v>202</v>
      </c>
      <c r="E12" s="12" t="s">
        <v>203</v>
      </c>
      <c r="F12" s="12" t="n">
        <v>5</v>
      </c>
      <c r="G12" s="12"/>
    </row>
    <row r="13" customFormat="false" ht="15" hidden="false" customHeight="false" outlineLevel="0" collapsed="false">
      <c r="A13" s="12" t="s">
        <v>204</v>
      </c>
      <c r="B13" s="12" t="s">
        <v>137</v>
      </c>
      <c r="C13" s="12" t="s">
        <v>205</v>
      </c>
      <c r="D13" s="12" t="s">
        <v>206</v>
      </c>
      <c r="E13" s="12" t="s">
        <v>207</v>
      </c>
      <c r="F13" s="12" t="n">
        <v>6</v>
      </c>
      <c r="G13" s="12"/>
    </row>
    <row r="14" customFormat="false" ht="15" hidden="false" customHeight="false" outlineLevel="0" collapsed="false">
      <c r="A14" s="12" t="s">
        <v>208</v>
      </c>
      <c r="B14" s="12" t="s">
        <v>108</v>
      </c>
      <c r="C14" s="12" t="s">
        <v>209</v>
      </c>
      <c r="D14" s="12" t="s">
        <v>210</v>
      </c>
      <c r="E14" s="12" t="s">
        <v>211</v>
      </c>
      <c r="F14" s="12" t="n">
        <v>1</v>
      </c>
      <c r="G14" s="12"/>
    </row>
    <row r="15" customFormat="false" ht="15" hidden="false" customHeight="false" outlineLevel="0" collapsed="false">
      <c r="A15" s="12" t="s">
        <v>212</v>
      </c>
      <c r="B15" s="12" t="s">
        <v>108</v>
      </c>
      <c r="C15" s="12" t="s">
        <v>213</v>
      </c>
      <c r="D15" s="12" t="s">
        <v>214</v>
      </c>
      <c r="E15" s="12" t="s">
        <v>215</v>
      </c>
      <c r="F15" s="12" t="n">
        <v>2</v>
      </c>
      <c r="G15" s="12"/>
    </row>
    <row r="16" customFormat="false" ht="15" hidden="false" customHeight="false" outlineLevel="0" collapsed="false">
      <c r="A16" s="12" t="s">
        <v>216</v>
      </c>
      <c r="B16" s="12" t="s">
        <v>108</v>
      </c>
      <c r="C16" s="12" t="s">
        <v>217</v>
      </c>
      <c r="D16" s="12" t="s">
        <v>218</v>
      </c>
      <c r="E16" s="12" t="s">
        <v>219</v>
      </c>
      <c r="F16" s="12" t="n">
        <v>3</v>
      </c>
      <c r="G16" s="12"/>
    </row>
    <row r="17" customFormat="false" ht="15" hidden="false" customHeight="false" outlineLevel="0" collapsed="false">
      <c r="A17" s="12" t="s">
        <v>220</v>
      </c>
      <c r="B17" s="12" t="s">
        <v>108</v>
      </c>
      <c r="C17" s="12" t="s">
        <v>221</v>
      </c>
      <c r="D17" s="12" t="s">
        <v>222</v>
      </c>
      <c r="E17" s="12" t="s">
        <v>223</v>
      </c>
      <c r="F17" s="12" t="n">
        <v>4</v>
      </c>
      <c r="G17" s="12"/>
    </row>
    <row r="18" customFormat="false" ht="15" hidden="false" customHeight="false" outlineLevel="0" collapsed="false">
      <c r="A18" s="12" t="s">
        <v>224</v>
      </c>
      <c r="B18" s="12" t="s">
        <v>108</v>
      </c>
      <c r="C18" s="12" t="s">
        <v>225</v>
      </c>
      <c r="D18" s="12" t="s">
        <v>226</v>
      </c>
      <c r="E18" s="12" t="s">
        <v>199</v>
      </c>
      <c r="F18" s="12" t="n">
        <v>5</v>
      </c>
      <c r="G18" s="12"/>
    </row>
    <row r="19" customFormat="false" ht="15" hidden="false" customHeight="false" outlineLevel="0" collapsed="false">
      <c r="A19" s="12" t="s">
        <v>227</v>
      </c>
      <c r="B19" s="12" t="s">
        <v>108</v>
      </c>
      <c r="C19" s="12" t="s">
        <v>228</v>
      </c>
      <c r="D19" s="12" t="s">
        <v>229</v>
      </c>
      <c r="E19" s="12" t="s">
        <v>230</v>
      </c>
      <c r="F19" s="12" t="n">
        <v>6</v>
      </c>
      <c r="G19" s="12"/>
    </row>
    <row r="20" customFormat="false" ht="15" hidden="false" customHeight="false" outlineLevel="0" collapsed="false">
      <c r="A20" s="12" t="s">
        <v>231</v>
      </c>
      <c r="B20" s="12" t="s">
        <v>124</v>
      </c>
      <c r="C20" s="12" t="s">
        <v>232</v>
      </c>
      <c r="D20" s="12" t="s">
        <v>233</v>
      </c>
      <c r="E20" s="12" t="s">
        <v>234</v>
      </c>
      <c r="F20" s="12" t="n">
        <v>1</v>
      </c>
      <c r="G20" s="12"/>
    </row>
    <row r="21" customFormat="false" ht="15" hidden="false" customHeight="false" outlineLevel="0" collapsed="false">
      <c r="A21" s="12" t="s">
        <v>235</v>
      </c>
      <c r="B21" s="12" t="s">
        <v>124</v>
      </c>
      <c r="C21" s="12" t="s">
        <v>171</v>
      </c>
      <c r="D21" s="12" t="s">
        <v>172</v>
      </c>
      <c r="E21" s="12" t="s">
        <v>196</v>
      </c>
      <c r="F21" s="12" t="n">
        <v>2</v>
      </c>
      <c r="G21" s="12"/>
    </row>
    <row r="22" customFormat="false" ht="15" hidden="false" customHeight="false" outlineLevel="0" collapsed="false">
      <c r="A22" s="12" t="s">
        <v>236</v>
      </c>
      <c r="B22" s="12" t="s">
        <v>124</v>
      </c>
      <c r="C22" s="12" t="s">
        <v>237</v>
      </c>
      <c r="D22" s="12" t="s">
        <v>238</v>
      </c>
      <c r="E22" s="12" t="s">
        <v>239</v>
      </c>
      <c r="F22" s="12" t="n">
        <v>3</v>
      </c>
      <c r="G22" s="12"/>
    </row>
    <row r="23" customFormat="false" ht="15" hidden="false" customHeight="false" outlineLevel="0" collapsed="false">
      <c r="A23" s="12" t="s">
        <v>240</v>
      </c>
      <c r="B23" s="12" t="s">
        <v>124</v>
      </c>
      <c r="C23" s="12" t="s">
        <v>225</v>
      </c>
      <c r="D23" s="12" t="s">
        <v>226</v>
      </c>
      <c r="E23" s="12" t="s">
        <v>199</v>
      </c>
      <c r="F23" s="12" t="n">
        <v>4</v>
      </c>
      <c r="G23" s="12"/>
    </row>
    <row r="24" customFormat="false" ht="15" hidden="false" customHeight="false" outlineLevel="0" collapsed="false">
      <c r="A24" s="12" t="s">
        <v>241</v>
      </c>
      <c r="B24" s="12" t="s">
        <v>141</v>
      </c>
      <c r="C24" s="12" t="s">
        <v>242</v>
      </c>
      <c r="D24" s="12" t="s">
        <v>243</v>
      </c>
      <c r="E24" s="12" t="s">
        <v>244</v>
      </c>
      <c r="F24" s="12" t="n">
        <v>1</v>
      </c>
      <c r="G24" s="12"/>
    </row>
    <row r="25" customFormat="false" ht="15" hidden="false" customHeight="false" outlineLevel="0" collapsed="false">
      <c r="A25" s="12" t="s">
        <v>245</v>
      </c>
      <c r="B25" s="12" t="s">
        <v>141</v>
      </c>
      <c r="C25" s="12" t="s">
        <v>246</v>
      </c>
      <c r="D25" s="12" t="s">
        <v>247</v>
      </c>
      <c r="E25" s="12" t="s">
        <v>248</v>
      </c>
      <c r="F25" s="12" t="n">
        <v>2</v>
      </c>
      <c r="G25" s="12"/>
    </row>
    <row r="26" customFormat="false" ht="15" hidden="false" customHeight="false" outlineLevel="0" collapsed="false">
      <c r="A26" s="12" t="s">
        <v>249</v>
      </c>
      <c r="B26" s="12" t="s">
        <v>141</v>
      </c>
      <c r="C26" s="12" t="s">
        <v>250</v>
      </c>
      <c r="D26" s="12" t="s">
        <v>251</v>
      </c>
      <c r="E26" s="12" t="s">
        <v>252</v>
      </c>
      <c r="F26" s="12" t="n">
        <v>3</v>
      </c>
      <c r="G26" s="12"/>
    </row>
    <row r="27" customFormat="false" ht="15" hidden="false" customHeight="false" outlineLevel="0" collapsed="false">
      <c r="A27" s="12" t="s">
        <v>253</v>
      </c>
      <c r="B27" s="12" t="s">
        <v>141</v>
      </c>
      <c r="C27" s="12" t="s">
        <v>254</v>
      </c>
      <c r="D27" s="12" t="s">
        <v>255</v>
      </c>
      <c r="E27" s="12" t="s">
        <v>256</v>
      </c>
      <c r="F27" s="12" t="n">
        <v>4</v>
      </c>
      <c r="G27" s="12"/>
    </row>
  </sheetData>
  <autoFilter ref="A1:G2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8B57"/>
    <pageSetUpPr fitToPage="false"/>
  </sheetPr>
  <dimension ref="A1:K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1"/>
    <col collapsed="false" customWidth="true" hidden="false" outlineLevel="0" max="3" min="3" style="0" width="10"/>
    <col collapsed="false" customWidth="true" hidden="false" outlineLevel="0" max="4" min="4" style="0" width="23"/>
    <col collapsed="false" customWidth="true" hidden="false" outlineLevel="0" max="5" min="5" style="0" width="34"/>
    <col collapsed="false" customWidth="true" hidden="false" outlineLevel="0" max="6" min="6" style="0" width="46"/>
    <col collapsed="false" customWidth="true" hidden="false" outlineLevel="0" max="7" min="7" style="0" width="55"/>
    <col collapsed="false" customWidth="true" hidden="false" outlineLevel="0" max="9" min="8" style="0" width="60"/>
    <col collapsed="false" customWidth="true" hidden="false" outlineLevel="0" max="10" min="10" style="0" width="52"/>
    <col collapsed="false" customWidth="true" hidden="false" outlineLevel="0" max="11" min="11" style="0" width="15"/>
  </cols>
  <sheetData>
    <row r="1" customFormat="false" ht="31.5" hidden="false" customHeight="true" outlineLevel="0" collapsed="false">
      <c r="A1" s="11" t="s">
        <v>257</v>
      </c>
      <c r="B1" s="11" t="s">
        <v>87</v>
      </c>
      <c r="C1" s="11" t="s">
        <v>258</v>
      </c>
      <c r="D1" s="11" t="s">
        <v>88</v>
      </c>
      <c r="E1" s="11" t="s">
        <v>89</v>
      </c>
      <c r="F1" s="11" t="s">
        <v>90</v>
      </c>
      <c r="G1" s="11" t="s">
        <v>259</v>
      </c>
      <c r="H1" s="11" t="s">
        <v>260</v>
      </c>
      <c r="I1" s="11" t="s">
        <v>261</v>
      </c>
      <c r="J1" s="11" t="s">
        <v>91</v>
      </c>
      <c r="K1" s="11" t="s">
        <v>262</v>
      </c>
    </row>
    <row r="2" customFormat="false" ht="15" hidden="false" customHeight="false" outlineLevel="0" collapsed="false">
      <c r="A2" s="12" t="s">
        <v>263</v>
      </c>
      <c r="B2" s="12"/>
      <c r="C2" s="12" t="n">
        <v>1</v>
      </c>
      <c r="D2" s="12" t="s">
        <v>264</v>
      </c>
      <c r="E2" s="12" t="s">
        <v>265</v>
      </c>
      <c r="F2" s="12" t="s">
        <v>266</v>
      </c>
      <c r="G2" s="12" t="s">
        <v>267</v>
      </c>
      <c r="H2" s="12" t="s">
        <v>268</v>
      </c>
      <c r="I2" s="12"/>
      <c r="J2" s="12" t="s">
        <v>269</v>
      </c>
      <c r="K2" s="12" t="n">
        <f aca="false">IF(C2=1,COUNTIF(Products!$F:$F,A2),COUNTIF(Products!$G:$G,A2))</f>
        <v>33</v>
      </c>
    </row>
    <row r="3" customFormat="false" ht="15" hidden="false" customHeight="false" outlineLevel="0" collapsed="false">
      <c r="A3" s="12" t="s">
        <v>270</v>
      </c>
      <c r="B3" s="12" t="s">
        <v>263</v>
      </c>
      <c r="C3" s="12" t="n">
        <v>2</v>
      </c>
      <c r="D3" s="12" t="s">
        <v>271</v>
      </c>
      <c r="E3" s="12" t="s">
        <v>272</v>
      </c>
      <c r="F3" s="12" t="s">
        <v>273</v>
      </c>
      <c r="G3" s="12" t="s">
        <v>274</v>
      </c>
      <c r="H3" s="12" t="s">
        <v>275</v>
      </c>
      <c r="I3" s="12" t="s">
        <v>276</v>
      </c>
      <c r="J3" s="12" t="s">
        <v>277</v>
      </c>
      <c r="K3" s="12" t="n">
        <f aca="false">IF(C3=1,COUNTIF(Products!$F:$F,A3),COUNTIF(Products!$G:$G,A3))</f>
        <v>17</v>
      </c>
    </row>
    <row r="4" customFormat="false" ht="15" hidden="false" customHeight="false" outlineLevel="0" collapsed="false">
      <c r="A4" s="12" t="s">
        <v>278</v>
      </c>
      <c r="B4" s="12" t="s">
        <v>263</v>
      </c>
      <c r="C4" s="12" t="n">
        <v>2</v>
      </c>
      <c r="D4" s="12" t="s">
        <v>279</v>
      </c>
      <c r="E4" s="12" t="s">
        <v>280</v>
      </c>
      <c r="F4" s="12" t="s">
        <v>281</v>
      </c>
      <c r="G4" s="12" t="s">
        <v>282</v>
      </c>
      <c r="H4" s="12" t="s">
        <v>283</v>
      </c>
      <c r="I4" s="12" t="s">
        <v>284</v>
      </c>
      <c r="J4" s="12" t="s">
        <v>97</v>
      </c>
      <c r="K4" s="12" t="n">
        <f aca="false">IF(C4=1,COUNTIF(Products!$F:$F,A4),COUNTIF(Products!$G:$G,A4))</f>
        <v>4</v>
      </c>
    </row>
    <row r="5" customFormat="false" ht="15" hidden="false" customHeight="false" outlineLevel="0" collapsed="false">
      <c r="A5" s="12" t="s">
        <v>285</v>
      </c>
      <c r="B5" s="12" t="s">
        <v>263</v>
      </c>
      <c r="C5" s="12" t="n">
        <v>2</v>
      </c>
      <c r="D5" s="12" t="s">
        <v>286</v>
      </c>
      <c r="E5" s="12" t="s">
        <v>287</v>
      </c>
      <c r="F5" s="12" t="s">
        <v>288</v>
      </c>
      <c r="G5" s="12" t="s">
        <v>289</v>
      </c>
      <c r="H5" s="12" t="s">
        <v>290</v>
      </c>
      <c r="I5" s="12" t="s">
        <v>291</v>
      </c>
      <c r="J5" s="12" t="s">
        <v>117</v>
      </c>
      <c r="K5" s="12" t="n">
        <f aca="false">IF(C5=1,COUNTIF(Products!$F:$F,A5),COUNTIF(Products!$G:$G,A5))</f>
        <v>3</v>
      </c>
    </row>
    <row r="6" customFormat="false" ht="15" hidden="false" customHeight="false" outlineLevel="0" collapsed="false">
      <c r="A6" s="12" t="s">
        <v>292</v>
      </c>
      <c r="B6" s="12" t="s">
        <v>263</v>
      </c>
      <c r="C6" s="12" t="n">
        <v>2</v>
      </c>
      <c r="D6" s="12" t="s">
        <v>293</v>
      </c>
      <c r="E6" s="12" t="s">
        <v>294</v>
      </c>
      <c r="F6" s="12" t="s">
        <v>295</v>
      </c>
      <c r="G6" s="12" t="s">
        <v>296</v>
      </c>
      <c r="H6" s="12" t="s">
        <v>297</v>
      </c>
      <c r="I6" s="12" t="s">
        <v>298</v>
      </c>
      <c r="J6" s="12" t="s">
        <v>117</v>
      </c>
      <c r="K6" s="12" t="n">
        <f aca="false">IF(C6=1,COUNTIF(Products!$F:$F,A6),COUNTIF(Products!$G:$G,A6))</f>
        <v>7</v>
      </c>
    </row>
    <row r="7" customFormat="false" ht="15" hidden="false" customHeight="false" outlineLevel="0" collapsed="false">
      <c r="A7" s="12" t="s">
        <v>299</v>
      </c>
      <c r="B7" s="12" t="s">
        <v>263</v>
      </c>
      <c r="C7" s="12" t="n">
        <v>2</v>
      </c>
      <c r="D7" s="12" t="s">
        <v>300</v>
      </c>
      <c r="E7" s="12" t="s">
        <v>301</v>
      </c>
      <c r="F7" s="12" t="s">
        <v>302</v>
      </c>
      <c r="G7" s="12" t="s">
        <v>303</v>
      </c>
      <c r="H7" s="12"/>
      <c r="I7" s="12"/>
      <c r="J7" s="12" t="s">
        <v>117</v>
      </c>
      <c r="K7" s="12" t="n">
        <f aca="false">IF(C7=1,COUNTIF(Products!$F:$F,A7),COUNTIF(Products!$G:$G,A7))</f>
        <v>2</v>
      </c>
    </row>
    <row r="8" customFormat="false" ht="15" hidden="false" customHeight="false" outlineLevel="0" collapsed="false">
      <c r="A8" s="12" t="s">
        <v>304</v>
      </c>
      <c r="B8" s="12"/>
      <c r="C8" s="12" t="n">
        <v>1</v>
      </c>
      <c r="D8" s="12" t="s">
        <v>305</v>
      </c>
      <c r="E8" s="12" t="s">
        <v>306</v>
      </c>
      <c r="F8" s="12" t="s">
        <v>307</v>
      </c>
      <c r="G8" s="12" t="s">
        <v>308</v>
      </c>
      <c r="H8" s="12" t="s">
        <v>309</v>
      </c>
      <c r="I8" s="12" t="s">
        <v>310</v>
      </c>
      <c r="J8" s="12" t="s">
        <v>311</v>
      </c>
      <c r="K8" s="12" t="n">
        <f aca="false">IF(C8=1,COUNTIF(Products!$F:$F,A8),COUNTIF(Products!$G:$G,A8))</f>
        <v>14</v>
      </c>
    </row>
    <row r="9" customFormat="false" ht="15" hidden="false" customHeight="false" outlineLevel="0" collapsed="false">
      <c r="A9" s="12" t="s">
        <v>312</v>
      </c>
      <c r="B9" s="12" t="s">
        <v>304</v>
      </c>
      <c r="C9" s="12" t="n">
        <v>2</v>
      </c>
      <c r="D9" s="12" t="s">
        <v>313</v>
      </c>
      <c r="E9" s="12" t="s">
        <v>314</v>
      </c>
      <c r="F9" s="12" t="s">
        <v>315</v>
      </c>
      <c r="G9" s="12" t="s">
        <v>316</v>
      </c>
      <c r="H9" s="12" t="s">
        <v>317</v>
      </c>
      <c r="I9" s="12"/>
      <c r="J9" s="12" t="s">
        <v>117</v>
      </c>
      <c r="K9" s="12" t="n">
        <f aca="false">IF(C9=1,COUNTIF(Products!$F:$F,A9),COUNTIF(Products!$G:$G,A9))</f>
        <v>4</v>
      </c>
    </row>
    <row r="10" customFormat="false" ht="15" hidden="false" customHeight="false" outlineLevel="0" collapsed="false">
      <c r="A10" s="12" t="s">
        <v>318</v>
      </c>
      <c r="B10" s="12" t="s">
        <v>304</v>
      </c>
      <c r="C10" s="12" t="n">
        <v>2</v>
      </c>
      <c r="D10" s="12" t="s">
        <v>319</v>
      </c>
      <c r="E10" s="12" t="s">
        <v>320</v>
      </c>
      <c r="F10" s="12" t="s">
        <v>321</v>
      </c>
      <c r="G10" s="12" t="s">
        <v>322</v>
      </c>
      <c r="H10" s="12"/>
      <c r="I10" s="12"/>
      <c r="J10" s="12" t="s">
        <v>117</v>
      </c>
      <c r="K10" s="12" t="n">
        <f aca="false">IF(C10=1,COUNTIF(Products!$F:$F,A10),COUNTIF(Products!$G:$G,A10))</f>
        <v>2</v>
      </c>
    </row>
    <row r="11" customFormat="false" ht="15" hidden="false" customHeight="false" outlineLevel="0" collapsed="false">
      <c r="A11" s="12" t="s">
        <v>323</v>
      </c>
      <c r="B11" s="12" t="s">
        <v>304</v>
      </c>
      <c r="C11" s="12" t="n">
        <v>2</v>
      </c>
      <c r="D11" s="12" t="s">
        <v>324</v>
      </c>
      <c r="E11" s="12" t="s">
        <v>325</v>
      </c>
      <c r="F11" s="12" t="s">
        <v>326</v>
      </c>
      <c r="G11" s="12" t="s">
        <v>327</v>
      </c>
      <c r="H11" s="12" t="s">
        <v>328</v>
      </c>
      <c r="I11" s="12"/>
      <c r="J11" s="12" t="s">
        <v>117</v>
      </c>
      <c r="K11" s="12" t="n">
        <f aca="false">IF(C11=1,COUNTIF(Products!$F:$F,A11),COUNTIF(Products!$G:$G,A11))</f>
        <v>3</v>
      </c>
    </row>
    <row r="12" customFormat="false" ht="15" hidden="false" customHeight="false" outlineLevel="0" collapsed="false">
      <c r="A12" s="12" t="s">
        <v>329</v>
      </c>
      <c r="B12" s="12" t="s">
        <v>304</v>
      </c>
      <c r="C12" s="12" t="n">
        <v>2</v>
      </c>
      <c r="D12" s="12" t="s">
        <v>330</v>
      </c>
      <c r="E12" s="12" t="s">
        <v>331</v>
      </c>
      <c r="F12" s="12" t="s">
        <v>332</v>
      </c>
      <c r="G12" s="12" t="s">
        <v>333</v>
      </c>
      <c r="H12" s="12"/>
      <c r="I12" s="12"/>
      <c r="J12" s="12" t="s">
        <v>117</v>
      </c>
      <c r="K12" s="12" t="n">
        <f aca="false">IF(C12=1,COUNTIF(Products!$F:$F,A12),COUNTIF(Products!$G:$G,A12))</f>
        <v>2</v>
      </c>
    </row>
    <row r="13" customFormat="false" ht="15" hidden="false" customHeight="false" outlineLevel="0" collapsed="false">
      <c r="A13" s="12" t="s">
        <v>334</v>
      </c>
      <c r="B13" s="12" t="s">
        <v>304</v>
      </c>
      <c r="C13" s="12" t="n">
        <v>2</v>
      </c>
      <c r="D13" s="12" t="s">
        <v>335</v>
      </c>
      <c r="E13" s="12" t="s">
        <v>336</v>
      </c>
      <c r="F13" s="12" t="s">
        <v>337</v>
      </c>
      <c r="G13" s="12" t="s">
        <v>338</v>
      </c>
      <c r="H13" s="12"/>
      <c r="I13" s="12"/>
      <c r="J13" s="12" t="s">
        <v>117</v>
      </c>
      <c r="K13" s="12" t="n">
        <f aca="false">IF(C13=1,COUNTIF(Products!$F:$F,A13),COUNTIF(Products!$G:$G,A13))</f>
        <v>1</v>
      </c>
    </row>
    <row r="14" customFormat="false" ht="15" hidden="false" customHeight="false" outlineLevel="0" collapsed="false">
      <c r="A14" s="12" t="s">
        <v>339</v>
      </c>
      <c r="B14" s="12" t="s">
        <v>304</v>
      </c>
      <c r="C14" s="12" t="n">
        <v>2</v>
      </c>
      <c r="D14" s="12" t="s">
        <v>340</v>
      </c>
      <c r="E14" s="12" t="s">
        <v>341</v>
      </c>
      <c r="F14" s="12" t="s">
        <v>342</v>
      </c>
      <c r="G14" s="12" t="s">
        <v>343</v>
      </c>
      <c r="H14" s="12"/>
      <c r="I14" s="12"/>
      <c r="J14" s="12" t="s">
        <v>117</v>
      </c>
      <c r="K14" s="12" t="n">
        <f aca="false">IF(C14=1,COUNTIF(Products!$F:$F,A14),COUNTIF(Products!$G:$G,A14))</f>
        <v>2</v>
      </c>
    </row>
    <row r="15" customFormat="false" ht="15" hidden="false" customHeight="false" outlineLevel="0" collapsed="false">
      <c r="A15" s="12" t="s">
        <v>344</v>
      </c>
      <c r="B15" s="12"/>
      <c r="C15" s="12" t="n">
        <v>1</v>
      </c>
      <c r="D15" s="12" t="s">
        <v>345</v>
      </c>
      <c r="E15" s="12" t="s">
        <v>346</v>
      </c>
      <c r="F15" s="12" t="s">
        <v>347</v>
      </c>
      <c r="G15" s="12" t="s">
        <v>348</v>
      </c>
      <c r="H15" s="12" t="s">
        <v>349</v>
      </c>
      <c r="I15" s="12" t="s">
        <v>350</v>
      </c>
      <c r="J15" s="12" t="s">
        <v>351</v>
      </c>
      <c r="K15" s="12" t="n">
        <f aca="false">IF(C15=1,COUNTIF(Products!$F:$F,A15),COUNTIF(Products!$G:$G,A15))</f>
        <v>15</v>
      </c>
    </row>
    <row r="16" customFormat="false" ht="15" hidden="false" customHeight="false" outlineLevel="0" collapsed="false">
      <c r="A16" s="12" t="s">
        <v>352</v>
      </c>
      <c r="B16" s="12" t="s">
        <v>344</v>
      </c>
      <c r="C16" s="12" t="n">
        <v>2</v>
      </c>
      <c r="D16" s="12" t="s">
        <v>353</v>
      </c>
      <c r="E16" s="12" t="s">
        <v>354</v>
      </c>
      <c r="F16" s="12" t="s">
        <v>355</v>
      </c>
      <c r="G16" s="12"/>
      <c r="H16" s="12"/>
      <c r="I16" s="12"/>
      <c r="J16" s="12" t="s">
        <v>117</v>
      </c>
      <c r="K16" s="12" t="n">
        <f aca="false">IF(C16=1,COUNTIF(Products!$F:$F,A16),COUNTIF(Products!$G:$G,A16))</f>
        <v>4</v>
      </c>
    </row>
    <row r="17" customFormat="false" ht="15" hidden="false" customHeight="false" outlineLevel="0" collapsed="false">
      <c r="A17" s="12" t="s">
        <v>356</v>
      </c>
      <c r="B17" s="12" t="s">
        <v>344</v>
      </c>
      <c r="C17" s="12" t="n">
        <v>2</v>
      </c>
      <c r="D17" s="12" t="s">
        <v>357</v>
      </c>
      <c r="E17" s="12" t="s">
        <v>358</v>
      </c>
      <c r="F17" s="12" t="s">
        <v>359</v>
      </c>
      <c r="G17" s="12" t="s">
        <v>360</v>
      </c>
      <c r="H17" s="12"/>
      <c r="I17" s="12"/>
      <c r="J17" s="12" t="s">
        <v>117</v>
      </c>
      <c r="K17" s="12" t="n">
        <f aca="false">IF(C17=1,COUNTIF(Products!$F:$F,A17),COUNTIF(Products!$G:$G,A17))</f>
        <v>4</v>
      </c>
    </row>
    <row r="18" customFormat="false" ht="15" hidden="false" customHeight="false" outlineLevel="0" collapsed="false">
      <c r="A18" s="12" t="s">
        <v>361</v>
      </c>
      <c r="B18" s="12" t="s">
        <v>344</v>
      </c>
      <c r="C18" s="12" t="n">
        <v>2</v>
      </c>
      <c r="D18" s="12" t="s">
        <v>362</v>
      </c>
      <c r="E18" s="12" t="s">
        <v>363</v>
      </c>
      <c r="F18" s="12" t="s">
        <v>364</v>
      </c>
      <c r="G18" s="12"/>
      <c r="H18" s="12"/>
      <c r="I18" s="12"/>
      <c r="J18" s="12" t="s">
        <v>117</v>
      </c>
      <c r="K18" s="12" t="n">
        <f aca="false">IF(C18=1,COUNTIF(Products!$F:$F,A18),COUNTIF(Products!$G:$G,A18))</f>
        <v>2</v>
      </c>
    </row>
    <row r="19" customFormat="false" ht="15" hidden="false" customHeight="false" outlineLevel="0" collapsed="false">
      <c r="A19" s="12" t="s">
        <v>365</v>
      </c>
      <c r="B19" s="12" t="s">
        <v>344</v>
      </c>
      <c r="C19" s="12" t="n">
        <v>2</v>
      </c>
      <c r="D19" s="12" t="s">
        <v>366</v>
      </c>
      <c r="E19" s="12" t="s">
        <v>367</v>
      </c>
      <c r="F19" s="12" t="s">
        <v>368</v>
      </c>
      <c r="G19" s="12" t="s">
        <v>369</v>
      </c>
      <c r="H19" s="12"/>
      <c r="I19" s="12"/>
      <c r="J19" s="12" t="s">
        <v>117</v>
      </c>
      <c r="K19" s="12" t="n">
        <f aca="false">IF(C19=1,COUNTIF(Products!$F:$F,A19),COUNTIF(Products!$G:$G,A19))</f>
        <v>3</v>
      </c>
    </row>
    <row r="20" customFormat="false" ht="15" hidden="false" customHeight="false" outlineLevel="0" collapsed="false">
      <c r="A20" s="12" t="s">
        <v>370</v>
      </c>
      <c r="B20" s="12" t="s">
        <v>344</v>
      </c>
      <c r="C20" s="12" t="n">
        <v>2</v>
      </c>
      <c r="D20" s="12" t="s">
        <v>371</v>
      </c>
      <c r="E20" s="12" t="s">
        <v>372</v>
      </c>
      <c r="F20" s="12" t="s">
        <v>373</v>
      </c>
      <c r="G20" s="12"/>
      <c r="H20" s="12"/>
      <c r="I20" s="12"/>
      <c r="J20" s="12" t="s">
        <v>117</v>
      </c>
      <c r="K20" s="12" t="n">
        <f aca="false">IF(C20=1,COUNTIF(Products!$F:$F,A20),COUNTIF(Products!$G:$G,A20))</f>
        <v>1</v>
      </c>
    </row>
    <row r="21" customFormat="false" ht="15" hidden="false" customHeight="false" outlineLevel="0" collapsed="false">
      <c r="A21" s="12" t="s">
        <v>374</v>
      </c>
      <c r="B21" s="12" t="s">
        <v>344</v>
      </c>
      <c r="C21" s="12" t="n">
        <v>2</v>
      </c>
      <c r="D21" s="12" t="s">
        <v>375</v>
      </c>
      <c r="E21" s="12" t="s">
        <v>376</v>
      </c>
      <c r="F21" s="12" t="s">
        <v>377</v>
      </c>
      <c r="G21" s="12" t="s">
        <v>378</v>
      </c>
      <c r="H21" s="12" t="s">
        <v>379</v>
      </c>
      <c r="I21" s="12"/>
      <c r="J21" s="12" t="s">
        <v>117</v>
      </c>
      <c r="K21" s="12" t="n">
        <f aca="false">IF(C21=1,COUNTIF(Products!$F:$F,A21),COUNTIF(Products!$G:$G,A21))</f>
        <v>1</v>
      </c>
    </row>
    <row r="22" customFormat="false" ht="15" hidden="false" customHeight="false" outlineLevel="0" collapsed="false">
      <c r="A22" s="12" t="s">
        <v>380</v>
      </c>
      <c r="B22" s="12"/>
      <c r="C22" s="12" t="n">
        <v>1</v>
      </c>
      <c r="D22" s="12" t="s">
        <v>381</v>
      </c>
      <c r="E22" s="12" t="s">
        <v>382</v>
      </c>
      <c r="F22" s="12" t="s">
        <v>383</v>
      </c>
      <c r="G22" s="12" t="s">
        <v>384</v>
      </c>
      <c r="H22" s="12" t="s">
        <v>385</v>
      </c>
      <c r="I22" s="12" t="s">
        <v>386</v>
      </c>
      <c r="J22" s="12" t="s">
        <v>97</v>
      </c>
      <c r="K22" s="12" t="n">
        <f aca="false">IF(C22=1,COUNTIF(Products!$F:$F,A22),COUNTIF(Products!$G:$G,A22))</f>
        <v>9</v>
      </c>
    </row>
    <row r="23" customFormat="false" ht="15" hidden="false" customHeight="false" outlineLevel="0" collapsed="false">
      <c r="A23" s="12" t="s">
        <v>387</v>
      </c>
      <c r="B23" s="12"/>
      <c r="C23" s="12" t="n">
        <v>1</v>
      </c>
      <c r="D23" s="12" t="s">
        <v>388</v>
      </c>
      <c r="E23" s="12" t="s">
        <v>389</v>
      </c>
      <c r="F23" s="12" t="s">
        <v>390</v>
      </c>
      <c r="G23" s="12" t="s">
        <v>391</v>
      </c>
      <c r="H23" s="12" t="s">
        <v>392</v>
      </c>
      <c r="I23" s="12"/>
      <c r="J23" s="12" t="s">
        <v>393</v>
      </c>
      <c r="K23" s="12" t="n">
        <f aca="false">IF(C23=1,COUNTIF(Products!$F:$F,A23),COUNTIF(Products!$G:$G,A23))</f>
        <v>4</v>
      </c>
    </row>
    <row r="24" customFormat="false" ht="15" hidden="false" customHeight="false" outlineLevel="0" collapsed="false">
      <c r="A24" s="12" t="s">
        <v>394</v>
      </c>
      <c r="B24" s="12" t="s">
        <v>387</v>
      </c>
      <c r="C24" s="12" t="n">
        <v>2</v>
      </c>
      <c r="D24" s="12" t="s">
        <v>395</v>
      </c>
      <c r="E24" s="12" t="s">
        <v>396</v>
      </c>
      <c r="F24" s="12" t="s">
        <v>397</v>
      </c>
      <c r="G24" s="12"/>
      <c r="H24" s="12"/>
      <c r="I24" s="12"/>
      <c r="J24" s="12" t="s">
        <v>117</v>
      </c>
      <c r="K24" s="12" t="n">
        <f aca="false">IF(C24=1,COUNTIF(Products!$F:$F,A24),COUNTIF(Products!$G:$G,A24))</f>
        <v>3</v>
      </c>
    </row>
    <row r="25" customFormat="false" ht="15" hidden="false" customHeight="false" outlineLevel="0" collapsed="false">
      <c r="A25" s="12" t="s">
        <v>398</v>
      </c>
      <c r="B25" s="12" t="s">
        <v>387</v>
      </c>
      <c r="C25" s="12" t="n">
        <v>2</v>
      </c>
      <c r="D25" s="12" t="s">
        <v>399</v>
      </c>
      <c r="E25" s="12" t="s">
        <v>400</v>
      </c>
      <c r="F25" s="12" t="s">
        <v>401</v>
      </c>
      <c r="G25" s="12"/>
      <c r="H25" s="12"/>
      <c r="I25" s="12"/>
      <c r="J25" s="12" t="s">
        <v>117</v>
      </c>
      <c r="K25" s="12" t="n">
        <f aca="false">IF(C25=1,COUNTIF(Products!$F:$F,A25),COUNTIF(Products!$G:$G,A25))</f>
        <v>1</v>
      </c>
    </row>
    <row r="26" customFormat="false" ht="15" hidden="false" customHeight="false" outlineLevel="0" collapsed="false">
      <c r="A26" s="12" t="s">
        <v>402</v>
      </c>
      <c r="B26" s="12"/>
      <c r="C26" s="12" t="n">
        <v>1</v>
      </c>
      <c r="D26" s="12" t="s">
        <v>403</v>
      </c>
      <c r="E26" s="12" t="s">
        <v>404</v>
      </c>
      <c r="F26" s="12" t="s">
        <v>405</v>
      </c>
      <c r="G26" s="12" t="s">
        <v>406</v>
      </c>
      <c r="H26" s="12"/>
      <c r="I26" s="12" t="s">
        <v>407</v>
      </c>
      <c r="J26" s="12" t="s">
        <v>97</v>
      </c>
      <c r="K26" s="12" t="n">
        <f aca="false">IF(C26=1,COUNTIF(Products!$F:$F,A26),COUNTIF(Products!$G:$G,A26))</f>
        <v>19</v>
      </c>
    </row>
    <row r="27" customFormat="false" ht="15" hidden="false" customHeight="false" outlineLevel="0" collapsed="false">
      <c r="A27" s="12" t="s">
        <v>408</v>
      </c>
      <c r="B27" s="12" t="s">
        <v>402</v>
      </c>
      <c r="C27" s="12" t="n">
        <v>2</v>
      </c>
      <c r="D27" s="12" t="s">
        <v>409</v>
      </c>
      <c r="E27" s="12" t="s">
        <v>410</v>
      </c>
      <c r="F27" s="12" t="s">
        <v>411</v>
      </c>
      <c r="G27" s="12"/>
      <c r="H27" s="12"/>
      <c r="I27" s="12"/>
      <c r="J27" s="12" t="s">
        <v>97</v>
      </c>
      <c r="K27" s="12" t="n">
        <f aca="false">IF(C27=1,COUNTIF(Products!$F:$F,A27),COUNTIF(Products!$G:$G,A27))</f>
        <v>6</v>
      </c>
    </row>
    <row r="28" customFormat="false" ht="15" hidden="false" customHeight="false" outlineLevel="0" collapsed="false">
      <c r="A28" s="12" t="s">
        <v>412</v>
      </c>
      <c r="B28" s="12" t="s">
        <v>402</v>
      </c>
      <c r="C28" s="12" t="n">
        <v>2</v>
      </c>
      <c r="D28" s="12" t="s">
        <v>413</v>
      </c>
      <c r="E28" s="12" t="s">
        <v>414</v>
      </c>
      <c r="F28" s="12" t="s">
        <v>415</v>
      </c>
      <c r="G28" s="12"/>
      <c r="H28" s="12"/>
      <c r="I28" s="12"/>
      <c r="J28" s="12" t="s">
        <v>416</v>
      </c>
      <c r="K28" s="12" t="n">
        <f aca="false">IF(C28=1,COUNTIF(Products!$F:$F,A28),COUNTIF(Products!$G:$G,A28))</f>
        <v>2</v>
      </c>
    </row>
    <row r="29" customFormat="false" ht="15" hidden="false" customHeight="false" outlineLevel="0" collapsed="false">
      <c r="A29" s="12" t="s">
        <v>417</v>
      </c>
      <c r="B29" s="12" t="s">
        <v>402</v>
      </c>
      <c r="C29" s="12" t="n">
        <v>2</v>
      </c>
      <c r="D29" s="12" t="s">
        <v>418</v>
      </c>
      <c r="E29" s="12" t="s">
        <v>419</v>
      </c>
      <c r="F29" s="12" t="s">
        <v>420</v>
      </c>
      <c r="G29" s="12"/>
      <c r="H29" s="12"/>
      <c r="I29" s="12"/>
      <c r="J29" s="12" t="s">
        <v>416</v>
      </c>
      <c r="K29" s="12" t="n">
        <f aca="false">IF(C29=1,COUNTIF(Products!$F:$F,A29),COUNTIF(Products!$G:$G,A29))</f>
        <v>2</v>
      </c>
    </row>
    <row r="30" customFormat="false" ht="15" hidden="false" customHeight="false" outlineLevel="0" collapsed="false">
      <c r="A30" s="12" t="s">
        <v>421</v>
      </c>
      <c r="B30" s="12" t="s">
        <v>402</v>
      </c>
      <c r="C30" s="12" t="n">
        <v>2</v>
      </c>
      <c r="D30" s="12" t="s">
        <v>422</v>
      </c>
      <c r="E30" s="12" t="s">
        <v>423</v>
      </c>
      <c r="F30" s="12" t="s">
        <v>424</v>
      </c>
      <c r="G30" s="12"/>
      <c r="H30" s="12"/>
      <c r="I30" s="12"/>
      <c r="J30" s="12" t="s">
        <v>117</v>
      </c>
      <c r="K30" s="12" t="n">
        <f aca="false">IF(C30=1,COUNTIF(Products!$F:$F,A30),COUNTIF(Products!$G:$G,A30))</f>
        <v>2</v>
      </c>
    </row>
    <row r="31" customFormat="false" ht="15" hidden="false" customHeight="false" outlineLevel="0" collapsed="false">
      <c r="A31" s="12" t="s">
        <v>425</v>
      </c>
      <c r="B31" s="12" t="s">
        <v>402</v>
      </c>
      <c r="C31" s="12" t="n">
        <v>2</v>
      </c>
      <c r="D31" s="12" t="s">
        <v>426</v>
      </c>
      <c r="E31" s="12" t="s">
        <v>427</v>
      </c>
      <c r="F31" s="12" t="s">
        <v>428</v>
      </c>
      <c r="G31" s="12"/>
      <c r="H31" s="12"/>
      <c r="I31" s="12"/>
      <c r="J31" s="12" t="s">
        <v>117</v>
      </c>
      <c r="K31" s="12" t="n">
        <f aca="false">IF(C31=1,COUNTIF(Products!$F:$F,A31),COUNTIF(Products!$G:$G,A31))</f>
        <v>1</v>
      </c>
    </row>
    <row r="32" customFormat="false" ht="15" hidden="false" customHeight="false" outlineLevel="0" collapsed="false">
      <c r="A32" s="12" t="s">
        <v>429</v>
      </c>
      <c r="B32" s="12" t="s">
        <v>402</v>
      </c>
      <c r="C32" s="12" t="n">
        <v>2</v>
      </c>
      <c r="D32" s="12" t="s">
        <v>430</v>
      </c>
      <c r="E32" s="12" t="s">
        <v>431</v>
      </c>
      <c r="F32" s="12" t="s">
        <v>432</v>
      </c>
      <c r="G32" s="12" t="s">
        <v>433</v>
      </c>
      <c r="H32" s="12"/>
      <c r="I32" s="12"/>
      <c r="J32" s="12" t="s">
        <v>117</v>
      </c>
      <c r="K32" s="12" t="n">
        <f aca="false">IF(C32=1,COUNTIF(Products!$F:$F,A32),COUNTIF(Products!$G:$G,A32))</f>
        <v>4</v>
      </c>
    </row>
    <row r="33" customFormat="false" ht="15" hidden="false" customHeight="false" outlineLevel="0" collapsed="false">
      <c r="A33" s="12" t="s">
        <v>434</v>
      </c>
      <c r="B33" s="12" t="s">
        <v>402</v>
      </c>
      <c r="C33" s="12" t="n">
        <v>2</v>
      </c>
      <c r="D33" s="12" t="s">
        <v>435</v>
      </c>
      <c r="E33" s="12" t="s">
        <v>436</v>
      </c>
      <c r="F33" s="12" t="s">
        <v>437</v>
      </c>
      <c r="G33" s="12"/>
      <c r="H33" s="12"/>
      <c r="I33" s="12"/>
      <c r="J33" s="12" t="s">
        <v>117</v>
      </c>
      <c r="K33" s="12" t="n">
        <f aca="false">IF(C33=1,COUNTIF(Products!$F:$F,A33),COUNTIF(Products!$G:$G,A33))</f>
        <v>1</v>
      </c>
    </row>
    <row r="34" customFormat="false" ht="15" hidden="false" customHeight="false" outlineLevel="0" collapsed="false">
      <c r="A34" s="12" t="s">
        <v>438</v>
      </c>
      <c r="B34" s="12" t="s">
        <v>402</v>
      </c>
      <c r="C34" s="12" t="n">
        <v>2</v>
      </c>
      <c r="D34" s="12" t="s">
        <v>439</v>
      </c>
      <c r="E34" s="12" t="s">
        <v>440</v>
      </c>
      <c r="F34" s="12" t="s">
        <v>441</v>
      </c>
      <c r="G34" s="12"/>
      <c r="H34" s="12"/>
      <c r="I34" s="12"/>
      <c r="J34" s="12" t="s">
        <v>117</v>
      </c>
      <c r="K34" s="12" t="n">
        <f aca="false">IF(C34=1,COUNTIF(Products!$F:$F,A34),COUNTIF(Products!$G:$G,A34))</f>
        <v>1</v>
      </c>
    </row>
    <row r="35" customFormat="false" ht="15" hidden="false" customHeight="false" outlineLevel="0" collapsed="false">
      <c r="A35" s="12" t="s">
        <v>442</v>
      </c>
      <c r="B35" s="12"/>
      <c r="C35" s="12" t="n">
        <v>1</v>
      </c>
      <c r="D35" s="12" t="s">
        <v>443</v>
      </c>
      <c r="E35" s="12" t="s">
        <v>444</v>
      </c>
      <c r="F35" s="12" t="s">
        <v>445</v>
      </c>
      <c r="G35" s="12" t="s">
        <v>446</v>
      </c>
      <c r="H35" s="12" t="s">
        <v>447</v>
      </c>
      <c r="I35" s="12" t="s">
        <v>448</v>
      </c>
      <c r="J35" s="12" t="s">
        <v>117</v>
      </c>
      <c r="K35" s="12" t="n">
        <f aca="false">IF(C35=1,COUNTIF(Products!$F:$F,A35),COUNTIF(Products!$G:$G,A35))</f>
        <v>21</v>
      </c>
    </row>
    <row r="36" customFormat="false" ht="15" hidden="false" customHeight="false" outlineLevel="0" collapsed="false">
      <c r="A36" s="12" t="s">
        <v>449</v>
      </c>
      <c r="B36" s="12" t="s">
        <v>442</v>
      </c>
      <c r="C36" s="12" t="n">
        <v>2</v>
      </c>
      <c r="D36" s="12" t="s">
        <v>450</v>
      </c>
      <c r="E36" s="12" t="s">
        <v>451</v>
      </c>
      <c r="F36" s="12" t="s">
        <v>452</v>
      </c>
      <c r="G36" s="12" t="s">
        <v>453</v>
      </c>
      <c r="H36" s="12" t="s">
        <v>454</v>
      </c>
      <c r="I36" s="12" t="s">
        <v>455</v>
      </c>
      <c r="J36" s="12" t="s">
        <v>456</v>
      </c>
      <c r="K36" s="12" t="n">
        <f aca="false">IF(C36=1,COUNTIF(Products!$F:$F,A36),COUNTIF(Products!$G:$G,A36))</f>
        <v>17</v>
      </c>
    </row>
    <row r="37" customFormat="false" ht="15" hidden="false" customHeight="false" outlineLevel="0" collapsed="false">
      <c r="A37" s="12" t="s">
        <v>457</v>
      </c>
      <c r="B37" s="12" t="s">
        <v>442</v>
      </c>
      <c r="C37" s="12" t="n">
        <v>2</v>
      </c>
      <c r="D37" s="12" t="s">
        <v>458</v>
      </c>
      <c r="E37" s="12" t="s">
        <v>459</v>
      </c>
      <c r="F37" s="12" t="s">
        <v>460</v>
      </c>
      <c r="G37" s="12" t="s">
        <v>461</v>
      </c>
      <c r="H37" s="12"/>
      <c r="I37" s="12"/>
      <c r="J37" s="12" t="s">
        <v>117</v>
      </c>
      <c r="K37" s="12" t="n">
        <f aca="false">IF(C37=1,COUNTIF(Products!$F:$F,A37),COUNTIF(Products!$G:$G,A37))</f>
        <v>3</v>
      </c>
    </row>
    <row r="38" customFormat="false" ht="15" hidden="false" customHeight="false" outlineLevel="0" collapsed="false">
      <c r="A38" s="12" t="s">
        <v>462</v>
      </c>
      <c r="B38" s="12" t="s">
        <v>442</v>
      </c>
      <c r="C38" s="12" t="n">
        <v>2</v>
      </c>
      <c r="D38" s="12" t="s">
        <v>463</v>
      </c>
      <c r="E38" s="12" t="s">
        <v>464</v>
      </c>
      <c r="F38" s="12" t="s">
        <v>465</v>
      </c>
      <c r="G38" s="12"/>
      <c r="H38" s="12"/>
      <c r="I38" s="12"/>
      <c r="J38" s="12" t="s">
        <v>117</v>
      </c>
      <c r="K38" s="12" t="n">
        <f aca="false">IF(C38=1,COUNTIF(Products!$F:$F,A38),COUNTIF(Products!$G:$G,A38))</f>
        <v>0</v>
      </c>
    </row>
    <row r="39" customFormat="false" ht="15" hidden="false" customHeight="false" outlineLevel="0" collapsed="false">
      <c r="A39" s="12" t="s">
        <v>466</v>
      </c>
      <c r="B39" s="12" t="s">
        <v>442</v>
      </c>
      <c r="C39" s="12" t="n">
        <v>2</v>
      </c>
      <c r="D39" s="12" t="s">
        <v>467</v>
      </c>
      <c r="E39" s="12" t="s">
        <v>468</v>
      </c>
      <c r="F39" s="12" t="s">
        <v>469</v>
      </c>
      <c r="G39" s="12"/>
      <c r="H39" s="12"/>
      <c r="I39" s="12" t="s">
        <v>470</v>
      </c>
      <c r="J39" s="12" t="s">
        <v>117</v>
      </c>
      <c r="K39" s="12" t="n">
        <f aca="false">IF(C39=1,COUNTIF(Products!$F:$F,A39),COUNTIF(Products!$G:$G,A39))</f>
        <v>1</v>
      </c>
    </row>
  </sheetData>
  <autoFilter ref="A1:K3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8B57"/>
    <pageSetUpPr fitToPage="false"/>
  </sheetPr>
  <dimension ref="A1:I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1"/>
    <col collapsed="false" customWidth="true" hidden="false" outlineLevel="0" max="3" min="3" style="0" width="32"/>
    <col collapsed="false" customWidth="true" hidden="false" outlineLevel="0" max="4" min="4" style="0" width="17"/>
    <col collapsed="false" customWidth="true" hidden="false" outlineLevel="0" max="5" min="5" style="0" width="23"/>
    <col collapsed="false" customWidth="true" hidden="false" outlineLevel="0" max="6" min="6" style="0" width="14"/>
    <col collapsed="false" customWidth="true" hidden="false" outlineLevel="0" max="7" min="7" style="0" width="40"/>
    <col collapsed="false" customWidth="true" hidden="false" outlineLevel="0" max="8" min="8" style="0" width="24"/>
    <col collapsed="false" customWidth="true" hidden="false" outlineLevel="0" max="9" min="9" style="0" width="60"/>
  </cols>
  <sheetData>
    <row r="1" customFormat="false" ht="31.5" hidden="false" customHeight="true" outlineLevel="0" collapsed="false">
      <c r="A1" s="11" t="s">
        <v>471</v>
      </c>
      <c r="B1" s="11" t="s">
        <v>472</v>
      </c>
      <c r="C1" s="11" t="s">
        <v>473</v>
      </c>
      <c r="D1" s="11" t="s">
        <v>258</v>
      </c>
      <c r="E1" s="11" t="s">
        <v>474</v>
      </c>
      <c r="F1" s="11" t="s">
        <v>475</v>
      </c>
      <c r="G1" s="11" t="s">
        <v>476</v>
      </c>
      <c r="H1" s="11" t="s">
        <v>477</v>
      </c>
      <c r="I1" s="11" t="s">
        <v>92</v>
      </c>
    </row>
    <row r="2" customFormat="false" ht="15" hidden="false" customHeight="false" outlineLevel="0" collapsed="false">
      <c r="A2" s="12" t="s">
        <v>478</v>
      </c>
      <c r="B2" s="12" t="s">
        <v>479</v>
      </c>
      <c r="C2" s="12" t="s">
        <v>480</v>
      </c>
      <c r="D2" s="12" t="s">
        <v>481</v>
      </c>
      <c r="E2" s="12" t="s">
        <v>482</v>
      </c>
      <c r="F2" s="12" t="s">
        <v>483</v>
      </c>
      <c r="G2" s="12" t="s">
        <v>484</v>
      </c>
      <c r="H2" s="12" t="s">
        <v>31</v>
      </c>
      <c r="I2" s="12" t="s">
        <v>485</v>
      </c>
    </row>
    <row r="3" customFormat="false" ht="15" hidden="false" customHeight="false" outlineLevel="0" collapsed="false">
      <c r="A3" s="12" t="s">
        <v>486</v>
      </c>
      <c r="B3" s="12" t="s">
        <v>487</v>
      </c>
      <c r="C3" s="12" t="s">
        <v>488</v>
      </c>
      <c r="D3" s="12" t="s">
        <v>481</v>
      </c>
      <c r="E3" s="12" t="s">
        <v>482</v>
      </c>
      <c r="F3" s="12" t="s">
        <v>483</v>
      </c>
      <c r="G3" s="12" t="s">
        <v>489</v>
      </c>
      <c r="H3" s="12" t="s">
        <v>33</v>
      </c>
      <c r="I3" s="12" t="s">
        <v>490</v>
      </c>
    </row>
    <row r="4" customFormat="false" ht="15" hidden="false" customHeight="false" outlineLevel="0" collapsed="false">
      <c r="A4" s="12" t="s">
        <v>491</v>
      </c>
      <c r="B4" s="12" t="s">
        <v>492</v>
      </c>
      <c r="C4" s="12" t="s">
        <v>493</v>
      </c>
      <c r="D4" s="12" t="s">
        <v>481</v>
      </c>
      <c r="E4" s="12" t="s">
        <v>482</v>
      </c>
      <c r="F4" s="12" t="s">
        <v>483</v>
      </c>
      <c r="G4" s="12" t="s">
        <v>494</v>
      </c>
      <c r="H4" s="12" t="s">
        <v>39</v>
      </c>
      <c r="I4" s="12" t="s">
        <v>495</v>
      </c>
    </row>
    <row r="5" customFormat="false" ht="15" hidden="false" customHeight="false" outlineLevel="0" collapsed="false">
      <c r="A5" s="12" t="s">
        <v>496</v>
      </c>
      <c r="B5" s="12" t="s">
        <v>497</v>
      </c>
      <c r="C5" s="12" t="s">
        <v>498</v>
      </c>
      <c r="D5" s="12" t="s">
        <v>481</v>
      </c>
      <c r="E5" s="12" t="s">
        <v>482</v>
      </c>
      <c r="F5" s="12" t="s">
        <v>499</v>
      </c>
      <c r="G5" s="12" t="s">
        <v>484</v>
      </c>
      <c r="H5" s="12" t="s">
        <v>39</v>
      </c>
      <c r="I5" s="12"/>
    </row>
    <row r="6" customFormat="false" ht="15" hidden="false" customHeight="false" outlineLevel="0" collapsed="false">
      <c r="A6" s="12" t="s">
        <v>500</v>
      </c>
      <c r="B6" s="12" t="s">
        <v>501</v>
      </c>
      <c r="C6" s="12" t="s">
        <v>502</v>
      </c>
      <c r="D6" s="12" t="s">
        <v>481</v>
      </c>
      <c r="E6" s="12" t="s">
        <v>482</v>
      </c>
      <c r="F6" s="12" t="s">
        <v>483</v>
      </c>
      <c r="G6" s="12" t="s">
        <v>503</v>
      </c>
      <c r="H6" s="12" t="s">
        <v>39</v>
      </c>
      <c r="I6" s="12"/>
    </row>
    <row r="7" customFormat="false" ht="15" hidden="false" customHeight="false" outlineLevel="0" collapsed="false">
      <c r="A7" s="12" t="s">
        <v>504</v>
      </c>
      <c r="B7" s="12" t="s">
        <v>505</v>
      </c>
      <c r="C7" s="12" t="s">
        <v>506</v>
      </c>
      <c r="D7" s="12" t="s">
        <v>481</v>
      </c>
      <c r="E7" s="12" t="s">
        <v>482</v>
      </c>
      <c r="F7" s="12" t="s">
        <v>483</v>
      </c>
      <c r="G7" s="12" t="s">
        <v>507</v>
      </c>
      <c r="H7" s="12" t="s">
        <v>39</v>
      </c>
      <c r="I7" s="12" t="s">
        <v>508</v>
      </c>
    </row>
    <row r="8" customFormat="false" ht="15" hidden="false" customHeight="false" outlineLevel="0" collapsed="false">
      <c r="A8" s="12" t="s">
        <v>509</v>
      </c>
      <c r="B8" s="12" t="s">
        <v>510</v>
      </c>
      <c r="C8" s="12" t="s">
        <v>511</v>
      </c>
      <c r="D8" s="12" t="s">
        <v>481</v>
      </c>
      <c r="E8" s="12" t="s">
        <v>482</v>
      </c>
      <c r="F8" s="12" t="s">
        <v>483</v>
      </c>
      <c r="G8" s="12" t="s">
        <v>512</v>
      </c>
      <c r="H8" s="12" t="s">
        <v>39</v>
      </c>
      <c r="I8" s="12"/>
    </row>
    <row r="9" customFormat="false" ht="15" hidden="false" customHeight="false" outlineLevel="0" collapsed="false">
      <c r="A9" s="12" t="s">
        <v>513</v>
      </c>
      <c r="B9" s="12" t="s">
        <v>514</v>
      </c>
      <c r="C9" s="12" t="s">
        <v>515</v>
      </c>
      <c r="D9" s="12" t="s">
        <v>481</v>
      </c>
      <c r="E9" s="12" t="s">
        <v>516</v>
      </c>
      <c r="F9" s="12" t="s">
        <v>499</v>
      </c>
      <c r="G9" s="12" t="s">
        <v>503</v>
      </c>
      <c r="H9" s="12" t="s">
        <v>517</v>
      </c>
      <c r="I9" s="12" t="s">
        <v>518</v>
      </c>
    </row>
    <row r="10" customFormat="false" ht="15" hidden="false" customHeight="false" outlineLevel="0" collapsed="false">
      <c r="A10" s="12" t="s">
        <v>298</v>
      </c>
      <c r="B10" s="12" t="s">
        <v>519</v>
      </c>
      <c r="C10" s="12" t="s">
        <v>520</v>
      </c>
      <c r="D10" s="12" t="s">
        <v>481</v>
      </c>
      <c r="E10" s="12" t="s">
        <v>521</v>
      </c>
      <c r="F10" s="12" t="s">
        <v>499</v>
      </c>
      <c r="G10" s="12" t="s">
        <v>522</v>
      </c>
      <c r="H10" s="12"/>
      <c r="I10" s="12" t="s">
        <v>523</v>
      </c>
    </row>
    <row r="11" customFormat="false" ht="15" hidden="false" customHeight="false" outlineLevel="0" collapsed="false">
      <c r="A11" s="12" t="s">
        <v>291</v>
      </c>
      <c r="B11" s="12" t="s">
        <v>524</v>
      </c>
      <c r="C11" s="12" t="s">
        <v>525</v>
      </c>
      <c r="D11" s="12" t="s">
        <v>481</v>
      </c>
      <c r="E11" s="12" t="s">
        <v>516</v>
      </c>
      <c r="F11" s="12" t="s">
        <v>499</v>
      </c>
      <c r="G11" s="12" t="s">
        <v>526</v>
      </c>
      <c r="H11" s="12" t="s">
        <v>517</v>
      </c>
      <c r="I11" s="12" t="s">
        <v>527</v>
      </c>
    </row>
    <row r="12" customFormat="false" ht="15" hidden="false" customHeight="false" outlineLevel="0" collapsed="false">
      <c r="A12" s="12" t="s">
        <v>528</v>
      </c>
      <c r="B12" s="12" t="s">
        <v>529</v>
      </c>
      <c r="C12" s="12" t="s">
        <v>530</v>
      </c>
      <c r="D12" s="12" t="s">
        <v>481</v>
      </c>
      <c r="E12" s="12" t="s">
        <v>531</v>
      </c>
      <c r="F12" s="12" t="s">
        <v>499</v>
      </c>
      <c r="G12" s="12" t="s">
        <v>532</v>
      </c>
      <c r="H12" s="12"/>
      <c r="I12" s="12" t="s">
        <v>533</v>
      </c>
    </row>
    <row r="13" customFormat="false" ht="15" hidden="false" customHeight="false" outlineLevel="0" collapsed="false">
      <c r="A13" s="12" t="s">
        <v>534</v>
      </c>
      <c r="B13" s="12" t="s">
        <v>535</v>
      </c>
      <c r="C13" s="12" t="s">
        <v>536</v>
      </c>
      <c r="D13" s="12" t="s">
        <v>481</v>
      </c>
      <c r="E13" s="12" t="s">
        <v>531</v>
      </c>
      <c r="F13" s="12" t="s">
        <v>499</v>
      </c>
      <c r="G13" s="12" t="s">
        <v>537</v>
      </c>
      <c r="H13" s="12"/>
      <c r="I13" s="12" t="s">
        <v>533</v>
      </c>
    </row>
    <row r="14" customFormat="false" ht="15" hidden="false" customHeight="false" outlineLevel="0" collapsed="false">
      <c r="A14" s="12" t="s">
        <v>538</v>
      </c>
      <c r="B14" s="12" t="s">
        <v>539</v>
      </c>
      <c r="C14" s="12" t="s">
        <v>540</v>
      </c>
      <c r="D14" s="12" t="s">
        <v>481</v>
      </c>
      <c r="E14" s="12" t="s">
        <v>531</v>
      </c>
      <c r="F14" s="12" t="s">
        <v>499</v>
      </c>
      <c r="G14" s="12" t="s">
        <v>541</v>
      </c>
      <c r="H14" s="12"/>
      <c r="I14" s="12" t="s">
        <v>533</v>
      </c>
    </row>
    <row r="15" customFormat="false" ht="15" hidden="false" customHeight="false" outlineLevel="0" collapsed="false">
      <c r="A15" s="12" t="s">
        <v>542</v>
      </c>
      <c r="B15" s="12" t="s">
        <v>543</v>
      </c>
      <c r="C15" s="12" t="s">
        <v>544</v>
      </c>
      <c r="D15" s="12" t="s">
        <v>481</v>
      </c>
      <c r="E15" s="12" t="s">
        <v>482</v>
      </c>
      <c r="F15" s="12" t="s">
        <v>499</v>
      </c>
      <c r="G15" s="12" t="s">
        <v>484</v>
      </c>
      <c r="H15" s="12" t="s">
        <v>39</v>
      </c>
      <c r="I15" s="12" t="s">
        <v>545</v>
      </c>
    </row>
    <row r="16" customFormat="false" ht="15" hidden="false" customHeight="false" outlineLevel="0" collapsed="false">
      <c r="A16" s="12" t="s">
        <v>546</v>
      </c>
      <c r="B16" s="12" t="s">
        <v>547</v>
      </c>
      <c r="C16" s="12" t="s">
        <v>548</v>
      </c>
      <c r="D16" s="12" t="s">
        <v>481</v>
      </c>
      <c r="E16" s="12" t="s">
        <v>549</v>
      </c>
      <c r="F16" s="12" t="s">
        <v>499</v>
      </c>
      <c r="G16" s="12" t="s">
        <v>550</v>
      </c>
      <c r="H16" s="12"/>
      <c r="I16" s="12" t="s">
        <v>551</v>
      </c>
    </row>
    <row r="17" customFormat="false" ht="15" hidden="false" customHeight="false" outlineLevel="0" collapsed="false">
      <c r="A17" s="12" t="s">
        <v>552</v>
      </c>
      <c r="B17" s="12" t="s">
        <v>553</v>
      </c>
      <c r="C17" s="12" t="s">
        <v>554</v>
      </c>
      <c r="D17" s="12" t="s">
        <v>481</v>
      </c>
      <c r="E17" s="12" t="s">
        <v>516</v>
      </c>
      <c r="F17" s="12" t="s">
        <v>499</v>
      </c>
      <c r="G17" s="12" t="s">
        <v>555</v>
      </c>
      <c r="H17" s="12"/>
      <c r="I17" s="12" t="s">
        <v>556</v>
      </c>
    </row>
    <row r="18" customFormat="false" ht="15" hidden="false" customHeight="false" outlineLevel="0" collapsed="false">
      <c r="A18" s="12" t="s">
        <v>470</v>
      </c>
      <c r="B18" s="12" t="s">
        <v>557</v>
      </c>
      <c r="C18" s="12" t="s">
        <v>558</v>
      </c>
      <c r="D18" s="12" t="s">
        <v>481</v>
      </c>
      <c r="E18" s="12" t="s">
        <v>549</v>
      </c>
      <c r="F18" s="12" t="s">
        <v>499</v>
      </c>
      <c r="G18" s="12" t="s">
        <v>559</v>
      </c>
      <c r="H18" s="12"/>
      <c r="I18" s="12" t="s">
        <v>560</v>
      </c>
    </row>
    <row r="19" customFormat="false" ht="15" hidden="false" customHeight="false" outlineLevel="0" collapsed="false">
      <c r="A19" s="12" t="s">
        <v>561</v>
      </c>
      <c r="B19" s="12" t="s">
        <v>562</v>
      </c>
      <c r="C19" s="12" t="s">
        <v>563</v>
      </c>
      <c r="D19" s="12" t="s">
        <v>481</v>
      </c>
      <c r="E19" s="12" t="s">
        <v>516</v>
      </c>
      <c r="F19" s="12" t="s">
        <v>499</v>
      </c>
      <c r="G19" s="12" t="s">
        <v>564</v>
      </c>
      <c r="H19" s="12"/>
      <c r="I19" s="12"/>
    </row>
    <row r="20" customFormat="false" ht="15" hidden="false" customHeight="false" outlineLevel="0" collapsed="false">
      <c r="A20" s="12" t="s">
        <v>565</v>
      </c>
      <c r="B20" s="12" t="s">
        <v>566</v>
      </c>
      <c r="C20" s="12" t="s">
        <v>567</v>
      </c>
      <c r="D20" s="12" t="s">
        <v>481</v>
      </c>
      <c r="E20" s="12" t="s">
        <v>516</v>
      </c>
      <c r="F20" s="12" t="s">
        <v>499</v>
      </c>
      <c r="G20" s="12" t="s">
        <v>402</v>
      </c>
      <c r="H20" s="12"/>
      <c r="I20" s="12" t="s">
        <v>568</v>
      </c>
    </row>
    <row r="21" customFormat="false" ht="15" hidden="false" customHeight="false" outlineLevel="0" collapsed="false">
      <c r="A21" s="12" t="s">
        <v>569</v>
      </c>
      <c r="B21" s="12" t="s">
        <v>570</v>
      </c>
      <c r="C21" s="12" t="s">
        <v>571</v>
      </c>
      <c r="D21" s="12" t="s">
        <v>481</v>
      </c>
      <c r="E21" s="12" t="s">
        <v>482</v>
      </c>
      <c r="F21" s="12" t="s">
        <v>499</v>
      </c>
      <c r="G21" s="12" t="s">
        <v>572</v>
      </c>
      <c r="H21" s="12" t="s">
        <v>39</v>
      </c>
      <c r="I21" s="12"/>
    </row>
    <row r="22" customFormat="false" ht="15" hidden="false" customHeight="false" outlineLevel="0" collapsed="false">
      <c r="A22" s="12" t="s">
        <v>573</v>
      </c>
      <c r="B22" s="12" t="s">
        <v>574</v>
      </c>
      <c r="C22" s="12" t="s">
        <v>575</v>
      </c>
      <c r="D22" s="12" t="s">
        <v>481</v>
      </c>
      <c r="E22" s="12" t="s">
        <v>516</v>
      </c>
      <c r="F22" s="12" t="s">
        <v>499</v>
      </c>
      <c r="G22" s="12" t="s">
        <v>442</v>
      </c>
      <c r="H22" s="12"/>
      <c r="I22" s="12"/>
    </row>
    <row r="23" customFormat="false" ht="15" hidden="false" customHeight="false" outlineLevel="0" collapsed="false">
      <c r="A23" s="12" t="s">
        <v>576</v>
      </c>
      <c r="B23" s="12" t="s">
        <v>577</v>
      </c>
      <c r="C23" s="12" t="s">
        <v>578</v>
      </c>
      <c r="D23" s="12" t="s">
        <v>481</v>
      </c>
      <c r="E23" s="12" t="s">
        <v>579</v>
      </c>
      <c r="F23" s="12" t="s">
        <v>499</v>
      </c>
      <c r="G23" s="12" t="s">
        <v>484</v>
      </c>
      <c r="H23" s="12" t="s">
        <v>43</v>
      </c>
      <c r="I23" s="12" t="s">
        <v>580</v>
      </c>
    </row>
    <row r="24" customFormat="false" ht="15" hidden="false" customHeight="false" outlineLevel="0" collapsed="false">
      <c r="A24" s="12" t="s">
        <v>581</v>
      </c>
      <c r="B24" s="12" t="s">
        <v>582</v>
      </c>
      <c r="C24" s="12" t="s">
        <v>583</v>
      </c>
      <c r="D24" s="12" t="s">
        <v>481</v>
      </c>
      <c r="E24" s="12" t="s">
        <v>579</v>
      </c>
      <c r="F24" s="12" t="s">
        <v>499</v>
      </c>
      <c r="G24" s="12" t="s">
        <v>584</v>
      </c>
      <c r="H24" s="12" t="s">
        <v>43</v>
      </c>
      <c r="I24" s="12" t="s">
        <v>585</v>
      </c>
    </row>
    <row r="25" customFormat="false" ht="15" hidden="false" customHeight="false" outlineLevel="0" collapsed="false">
      <c r="A25" s="12" t="s">
        <v>586</v>
      </c>
      <c r="B25" s="12" t="s">
        <v>587</v>
      </c>
      <c r="C25" s="12" t="s">
        <v>588</v>
      </c>
      <c r="D25" s="12" t="s">
        <v>481</v>
      </c>
      <c r="E25" s="12" t="s">
        <v>589</v>
      </c>
      <c r="F25" s="12" t="s">
        <v>483</v>
      </c>
      <c r="G25" s="12" t="s">
        <v>484</v>
      </c>
      <c r="H25" s="12" t="s">
        <v>590</v>
      </c>
      <c r="I25" s="12" t="s">
        <v>591</v>
      </c>
    </row>
    <row r="26" customFormat="false" ht="15" hidden="false" customHeight="false" outlineLevel="0" collapsed="false">
      <c r="A26" s="12" t="s">
        <v>592</v>
      </c>
      <c r="B26" s="12" t="s">
        <v>593</v>
      </c>
      <c r="C26" s="12" t="s">
        <v>594</v>
      </c>
      <c r="D26" s="12" t="s">
        <v>595</v>
      </c>
      <c r="E26" s="12" t="s">
        <v>521</v>
      </c>
      <c r="F26" s="12" t="s">
        <v>499</v>
      </c>
      <c r="G26" s="12" t="s">
        <v>596</v>
      </c>
      <c r="H26" s="12"/>
      <c r="I26" s="12" t="s">
        <v>597</v>
      </c>
    </row>
    <row r="27" customFormat="false" ht="15" hidden="false" customHeight="false" outlineLevel="0" collapsed="false">
      <c r="A27" s="12" t="s">
        <v>598</v>
      </c>
      <c r="B27" s="12" t="s">
        <v>599</v>
      </c>
      <c r="C27" s="12" t="s">
        <v>600</v>
      </c>
      <c r="D27" s="12" t="s">
        <v>595</v>
      </c>
      <c r="E27" s="12" t="s">
        <v>482</v>
      </c>
      <c r="F27" s="12" t="s">
        <v>499</v>
      </c>
      <c r="G27" s="12" t="s">
        <v>596</v>
      </c>
      <c r="H27" s="12" t="s">
        <v>39</v>
      </c>
      <c r="I27" s="12"/>
    </row>
    <row r="28" customFormat="false" ht="15" hidden="false" customHeight="false" outlineLevel="0" collapsed="false">
      <c r="A28" s="12" t="s">
        <v>601</v>
      </c>
      <c r="B28" s="12" t="s">
        <v>602</v>
      </c>
      <c r="C28" s="12" t="s">
        <v>603</v>
      </c>
      <c r="D28" s="12" t="s">
        <v>595</v>
      </c>
      <c r="E28" s="12" t="s">
        <v>482</v>
      </c>
      <c r="F28" s="12" t="s">
        <v>499</v>
      </c>
      <c r="G28" s="12" t="s">
        <v>596</v>
      </c>
      <c r="H28" s="12" t="s">
        <v>39</v>
      </c>
      <c r="I28" s="12" t="s">
        <v>604</v>
      </c>
    </row>
    <row r="29" customFormat="false" ht="15" hidden="false" customHeight="false" outlineLevel="0" collapsed="false">
      <c r="A29" s="12" t="s">
        <v>605</v>
      </c>
      <c r="B29" s="12" t="s">
        <v>606</v>
      </c>
      <c r="C29" s="12" t="s">
        <v>607</v>
      </c>
      <c r="D29" s="12" t="s">
        <v>595</v>
      </c>
      <c r="E29" s="12" t="s">
        <v>521</v>
      </c>
      <c r="F29" s="12" t="s">
        <v>499</v>
      </c>
      <c r="G29" s="12" t="s">
        <v>596</v>
      </c>
      <c r="H29" s="12"/>
      <c r="I29" s="12" t="s">
        <v>608</v>
      </c>
    </row>
    <row r="30" customFormat="false" ht="15" hidden="false" customHeight="false" outlineLevel="0" collapsed="false">
      <c r="A30" s="12" t="s">
        <v>609</v>
      </c>
      <c r="B30" s="12" t="s">
        <v>610</v>
      </c>
      <c r="C30" s="12" t="s">
        <v>611</v>
      </c>
      <c r="D30" s="12" t="s">
        <v>595</v>
      </c>
      <c r="E30" s="12" t="s">
        <v>516</v>
      </c>
      <c r="F30" s="12" t="s">
        <v>499</v>
      </c>
      <c r="G30" s="12" t="s">
        <v>584</v>
      </c>
      <c r="H30" s="12"/>
      <c r="I30" s="12" t="s">
        <v>612</v>
      </c>
    </row>
    <row r="31" customFormat="false" ht="15" hidden="false" customHeight="false" outlineLevel="0" collapsed="false">
      <c r="A31" s="12" t="s">
        <v>613</v>
      </c>
      <c r="B31" s="12" t="s">
        <v>614</v>
      </c>
      <c r="C31" s="12" t="s">
        <v>615</v>
      </c>
      <c r="D31" s="12" t="s">
        <v>616</v>
      </c>
      <c r="E31" s="12" t="s">
        <v>531</v>
      </c>
      <c r="F31" s="12" t="s">
        <v>499</v>
      </c>
      <c r="G31" s="12" t="s">
        <v>484</v>
      </c>
      <c r="H31" s="12"/>
      <c r="I31" s="12"/>
    </row>
    <row r="32" customFormat="false" ht="15" hidden="false" customHeight="false" outlineLevel="0" collapsed="false">
      <c r="A32" s="12" t="s">
        <v>617</v>
      </c>
      <c r="B32" s="12" t="s">
        <v>618</v>
      </c>
      <c r="C32" s="12" t="s">
        <v>619</v>
      </c>
      <c r="D32" s="12" t="s">
        <v>616</v>
      </c>
      <c r="E32" s="12" t="s">
        <v>531</v>
      </c>
      <c r="F32" s="12" t="s">
        <v>499</v>
      </c>
      <c r="G32" s="12" t="s">
        <v>484</v>
      </c>
      <c r="H32" s="12"/>
      <c r="I32" s="12" t="s">
        <v>620</v>
      </c>
    </row>
    <row r="33" customFormat="false" ht="15" hidden="false" customHeight="false" outlineLevel="0" collapsed="false">
      <c r="A33" s="12" t="s">
        <v>621</v>
      </c>
      <c r="B33" s="12" t="s">
        <v>622</v>
      </c>
      <c r="C33" s="12" t="s">
        <v>623</v>
      </c>
      <c r="D33" s="12" t="s">
        <v>616</v>
      </c>
      <c r="E33" s="12" t="s">
        <v>531</v>
      </c>
      <c r="F33" s="12" t="s">
        <v>499</v>
      </c>
      <c r="G33" s="12" t="s">
        <v>484</v>
      </c>
      <c r="H33" s="12"/>
      <c r="I33" s="12"/>
    </row>
    <row r="34" customFormat="false" ht="15" hidden="false" customHeight="false" outlineLevel="0" collapsed="false">
      <c r="A34" s="12" t="s">
        <v>624</v>
      </c>
      <c r="B34" s="12" t="s">
        <v>625</v>
      </c>
      <c r="C34" s="12" t="s">
        <v>626</v>
      </c>
      <c r="D34" s="12" t="s">
        <v>616</v>
      </c>
      <c r="E34" s="12" t="s">
        <v>531</v>
      </c>
      <c r="F34" s="12" t="s">
        <v>499</v>
      </c>
      <c r="G34" s="12" t="s">
        <v>484</v>
      </c>
      <c r="H34" s="12"/>
      <c r="I34" s="12" t="s">
        <v>627</v>
      </c>
    </row>
    <row r="35" customFormat="false" ht="15" hidden="false" customHeight="false" outlineLevel="0" collapsed="false">
      <c r="A35" s="12" t="s">
        <v>628</v>
      </c>
      <c r="B35" s="12" t="s">
        <v>629</v>
      </c>
      <c r="C35" s="12" t="s">
        <v>630</v>
      </c>
      <c r="D35" s="12" t="s">
        <v>616</v>
      </c>
      <c r="E35" s="12" t="s">
        <v>516</v>
      </c>
      <c r="F35" s="12" t="s">
        <v>499</v>
      </c>
      <c r="G35" s="12" t="s">
        <v>631</v>
      </c>
      <c r="H35" s="12"/>
      <c r="I35" s="12"/>
    </row>
    <row r="36" customFormat="false" ht="15" hidden="false" customHeight="false" outlineLevel="0" collapsed="false">
      <c r="A36" s="12" t="s">
        <v>632</v>
      </c>
      <c r="B36" s="12" t="s">
        <v>633</v>
      </c>
      <c r="C36" s="12" t="s">
        <v>634</v>
      </c>
      <c r="D36" s="12" t="s">
        <v>616</v>
      </c>
      <c r="E36" s="12" t="s">
        <v>635</v>
      </c>
      <c r="F36" s="12" t="s">
        <v>499</v>
      </c>
      <c r="G36" s="12" t="s">
        <v>636</v>
      </c>
      <c r="H36" s="12"/>
      <c r="I36" s="12" t="s">
        <v>637</v>
      </c>
    </row>
    <row r="37" customFormat="false" ht="15" hidden="false" customHeight="false" outlineLevel="0" collapsed="false">
      <c r="A37" s="12" t="s">
        <v>638</v>
      </c>
      <c r="B37" s="12" t="s">
        <v>639</v>
      </c>
      <c r="C37" s="12" t="s">
        <v>640</v>
      </c>
      <c r="D37" s="12" t="s">
        <v>616</v>
      </c>
      <c r="E37" s="12" t="s">
        <v>549</v>
      </c>
      <c r="F37" s="12" t="s">
        <v>499</v>
      </c>
      <c r="G37" s="12" t="s">
        <v>484</v>
      </c>
      <c r="H37" s="12"/>
      <c r="I37" s="12"/>
    </row>
    <row r="38" customFormat="false" ht="15" hidden="false" customHeight="false" outlineLevel="0" collapsed="false">
      <c r="A38" s="12" t="s">
        <v>641</v>
      </c>
      <c r="B38" s="12" t="s">
        <v>642</v>
      </c>
      <c r="C38" s="12" t="s">
        <v>643</v>
      </c>
      <c r="D38" s="12" t="s">
        <v>616</v>
      </c>
      <c r="E38" s="12" t="s">
        <v>531</v>
      </c>
      <c r="F38" s="12" t="s">
        <v>499</v>
      </c>
      <c r="G38" s="12" t="s">
        <v>484</v>
      </c>
      <c r="H38" s="12"/>
      <c r="I38" s="12" t="s">
        <v>644</v>
      </c>
    </row>
    <row r="39" customFormat="false" ht="15" hidden="false" customHeight="false" outlineLevel="0" collapsed="false">
      <c r="A39" s="12" t="s">
        <v>645</v>
      </c>
      <c r="B39" s="12" t="s">
        <v>646</v>
      </c>
      <c r="C39" s="12" t="s">
        <v>647</v>
      </c>
      <c r="D39" s="12" t="s">
        <v>595</v>
      </c>
      <c r="E39" s="12" t="s">
        <v>531</v>
      </c>
      <c r="F39" s="12" t="s">
        <v>499</v>
      </c>
      <c r="G39" s="12" t="s">
        <v>648</v>
      </c>
      <c r="H39" s="12"/>
      <c r="I39" s="12" t="s">
        <v>649</v>
      </c>
    </row>
    <row r="40" customFormat="false" ht="15" hidden="false" customHeight="false" outlineLevel="0" collapsed="false">
      <c r="A40" s="12" t="s">
        <v>650</v>
      </c>
      <c r="B40" s="12" t="s">
        <v>651</v>
      </c>
      <c r="C40" s="12" t="s">
        <v>652</v>
      </c>
      <c r="D40" s="12" t="s">
        <v>653</v>
      </c>
      <c r="E40" s="12" t="s">
        <v>635</v>
      </c>
      <c r="F40" s="12" t="s">
        <v>499</v>
      </c>
      <c r="G40" s="12" t="s">
        <v>449</v>
      </c>
      <c r="H40" s="12"/>
      <c r="I40" s="12" t="s">
        <v>654</v>
      </c>
    </row>
    <row r="41" customFormat="false" ht="15" hidden="false" customHeight="false" outlineLevel="0" collapsed="false">
      <c r="A41" s="12" t="s">
        <v>655</v>
      </c>
      <c r="B41" s="12" t="s">
        <v>656</v>
      </c>
      <c r="C41" s="12" t="s">
        <v>657</v>
      </c>
      <c r="D41" s="12" t="s">
        <v>653</v>
      </c>
      <c r="E41" s="12" t="s">
        <v>635</v>
      </c>
      <c r="F41" s="12" t="s">
        <v>499</v>
      </c>
      <c r="G41" s="12" t="s">
        <v>449</v>
      </c>
      <c r="H41" s="12"/>
      <c r="I41" s="12" t="s">
        <v>658</v>
      </c>
    </row>
    <row r="42" customFormat="false" ht="15" hidden="false" customHeight="false" outlineLevel="0" collapsed="false">
      <c r="A42" s="12" t="s">
        <v>659</v>
      </c>
      <c r="B42" s="12" t="s">
        <v>660</v>
      </c>
      <c r="C42" s="12" t="s">
        <v>661</v>
      </c>
      <c r="D42" s="12" t="s">
        <v>653</v>
      </c>
      <c r="E42" s="12" t="s">
        <v>531</v>
      </c>
      <c r="F42" s="12" t="s">
        <v>499</v>
      </c>
      <c r="G42" s="12" t="s">
        <v>449</v>
      </c>
      <c r="H42" s="12"/>
      <c r="I42" s="12" t="s">
        <v>662</v>
      </c>
    </row>
    <row r="43" customFormat="false" ht="15" hidden="false" customHeight="false" outlineLevel="0" collapsed="false">
      <c r="A43" s="12" t="s">
        <v>663</v>
      </c>
      <c r="B43" s="12" t="s">
        <v>664</v>
      </c>
      <c r="C43" s="12" t="s">
        <v>665</v>
      </c>
      <c r="D43" s="12" t="s">
        <v>653</v>
      </c>
      <c r="E43" s="12" t="s">
        <v>531</v>
      </c>
      <c r="F43" s="12" t="s">
        <v>499</v>
      </c>
      <c r="G43" s="12" t="s">
        <v>449</v>
      </c>
      <c r="H43" s="12"/>
      <c r="I43" s="12" t="s">
        <v>666</v>
      </c>
    </row>
    <row r="44" customFormat="false" ht="15" hidden="false" customHeight="false" outlineLevel="0" collapsed="false">
      <c r="A44" s="12" t="s">
        <v>667</v>
      </c>
      <c r="B44" s="12" t="s">
        <v>668</v>
      </c>
      <c r="C44" s="12" t="s">
        <v>669</v>
      </c>
      <c r="D44" s="12" t="s">
        <v>653</v>
      </c>
      <c r="E44" s="12" t="s">
        <v>531</v>
      </c>
      <c r="F44" s="12" t="s">
        <v>499</v>
      </c>
      <c r="G44" s="12" t="s">
        <v>449</v>
      </c>
      <c r="H44" s="12"/>
      <c r="I44" s="12" t="s">
        <v>670</v>
      </c>
    </row>
    <row r="45" customFormat="false" ht="15" hidden="false" customHeight="false" outlineLevel="0" collapsed="false">
      <c r="A45" s="12" t="s">
        <v>671</v>
      </c>
      <c r="B45" s="12" t="s">
        <v>672</v>
      </c>
      <c r="C45" s="12" t="s">
        <v>673</v>
      </c>
      <c r="D45" s="12" t="s">
        <v>653</v>
      </c>
      <c r="E45" s="12" t="s">
        <v>531</v>
      </c>
      <c r="F45" s="12" t="s">
        <v>499</v>
      </c>
      <c r="G45" s="12" t="s">
        <v>449</v>
      </c>
      <c r="H45" s="12"/>
      <c r="I45" s="12" t="s">
        <v>674</v>
      </c>
    </row>
  </sheetData>
  <autoFilter ref="A1:I4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8B57"/>
    <pageSetUpPr fitToPage="false"/>
  </sheetPr>
  <dimension ref="A1:D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0"/>
    <col collapsed="false" customWidth="true" hidden="false" outlineLevel="0" max="3" min="3" style="0" width="54"/>
    <col collapsed="false" customWidth="true" hidden="false" outlineLevel="0" max="4" min="4" style="0" width="41"/>
  </cols>
  <sheetData>
    <row r="1" customFormat="false" ht="31.5" hidden="false" customHeight="true" outlineLevel="0" collapsed="false">
      <c r="A1" s="11" t="s">
        <v>471</v>
      </c>
      <c r="B1" s="11" t="s">
        <v>675</v>
      </c>
      <c r="C1" s="11" t="s">
        <v>472</v>
      </c>
      <c r="D1" s="11" t="s">
        <v>473</v>
      </c>
    </row>
    <row r="2" customFormat="false" ht="15" hidden="false" customHeight="false" outlineLevel="0" collapsed="false">
      <c r="A2" s="12" t="s">
        <v>491</v>
      </c>
      <c r="B2" s="12" t="s">
        <v>676</v>
      </c>
      <c r="C2" s="12" t="s">
        <v>677</v>
      </c>
      <c r="D2" s="12" t="s">
        <v>678</v>
      </c>
    </row>
    <row r="3" customFormat="false" ht="15" hidden="false" customHeight="false" outlineLevel="0" collapsed="false">
      <c r="A3" s="12" t="s">
        <v>491</v>
      </c>
      <c r="B3" s="12" t="s">
        <v>679</v>
      </c>
      <c r="C3" s="12" t="s">
        <v>680</v>
      </c>
      <c r="D3" s="12" t="s">
        <v>681</v>
      </c>
    </row>
    <row r="4" customFormat="false" ht="15" hidden="false" customHeight="false" outlineLevel="0" collapsed="false">
      <c r="A4" s="12" t="s">
        <v>491</v>
      </c>
      <c r="B4" s="12" t="s">
        <v>682</v>
      </c>
      <c r="C4" s="12" t="s">
        <v>683</v>
      </c>
      <c r="D4" s="12" t="s">
        <v>684</v>
      </c>
    </row>
    <row r="5" customFormat="false" ht="15" hidden="false" customHeight="false" outlineLevel="0" collapsed="false">
      <c r="A5" s="12" t="s">
        <v>491</v>
      </c>
      <c r="B5" s="12" t="s">
        <v>184</v>
      </c>
      <c r="C5" s="12" t="s">
        <v>185</v>
      </c>
      <c r="D5" s="12" t="s">
        <v>685</v>
      </c>
    </row>
    <row r="6" customFormat="false" ht="15" hidden="false" customHeight="false" outlineLevel="0" collapsed="false">
      <c r="A6" s="12" t="s">
        <v>491</v>
      </c>
      <c r="B6" s="12" t="s">
        <v>686</v>
      </c>
      <c r="C6" s="12" t="s">
        <v>687</v>
      </c>
      <c r="D6" s="12" t="s">
        <v>688</v>
      </c>
    </row>
    <row r="7" customFormat="false" ht="15" hidden="false" customHeight="false" outlineLevel="0" collapsed="false">
      <c r="A7" s="12" t="s">
        <v>491</v>
      </c>
      <c r="B7" s="12" t="s">
        <v>689</v>
      </c>
      <c r="C7" s="12" t="s">
        <v>690</v>
      </c>
      <c r="D7" s="12" t="s">
        <v>691</v>
      </c>
    </row>
    <row r="8" customFormat="false" ht="15" hidden="false" customHeight="false" outlineLevel="0" collapsed="false">
      <c r="A8" s="12" t="s">
        <v>491</v>
      </c>
      <c r="B8" s="12" t="s">
        <v>692</v>
      </c>
      <c r="C8" s="12" t="s">
        <v>693</v>
      </c>
      <c r="D8" s="12" t="s">
        <v>694</v>
      </c>
    </row>
    <row r="9" customFormat="false" ht="15" hidden="false" customHeight="false" outlineLevel="0" collapsed="false">
      <c r="A9" s="12" t="s">
        <v>491</v>
      </c>
      <c r="B9" s="12" t="s">
        <v>695</v>
      </c>
      <c r="C9" s="12" t="s">
        <v>696</v>
      </c>
      <c r="D9" s="12" t="s">
        <v>697</v>
      </c>
    </row>
    <row r="10" customFormat="false" ht="15" hidden="false" customHeight="false" outlineLevel="0" collapsed="false">
      <c r="A10" s="12" t="s">
        <v>491</v>
      </c>
      <c r="B10" s="12" t="s">
        <v>698</v>
      </c>
      <c r="C10" s="12" t="s">
        <v>699</v>
      </c>
      <c r="D10" s="12" t="s">
        <v>700</v>
      </c>
    </row>
    <row r="11" customFormat="false" ht="15" hidden="false" customHeight="false" outlineLevel="0" collapsed="false">
      <c r="A11" s="12" t="s">
        <v>491</v>
      </c>
      <c r="B11" s="12" t="s">
        <v>701</v>
      </c>
      <c r="C11" s="12" t="s">
        <v>702</v>
      </c>
      <c r="D11" s="12" t="s">
        <v>703</v>
      </c>
    </row>
    <row r="12" customFormat="false" ht="15" hidden="false" customHeight="false" outlineLevel="0" collapsed="false">
      <c r="A12" s="12" t="s">
        <v>496</v>
      </c>
      <c r="B12" s="12" t="s">
        <v>704</v>
      </c>
      <c r="C12" s="12" t="s">
        <v>705</v>
      </c>
      <c r="D12" s="12" t="s">
        <v>706</v>
      </c>
    </row>
    <row r="13" customFormat="false" ht="15" hidden="false" customHeight="false" outlineLevel="0" collapsed="false">
      <c r="A13" s="12" t="s">
        <v>496</v>
      </c>
      <c r="B13" s="12" t="s">
        <v>707</v>
      </c>
      <c r="C13" s="12" t="s">
        <v>708</v>
      </c>
      <c r="D13" s="12" t="s">
        <v>709</v>
      </c>
    </row>
    <row r="14" customFormat="false" ht="15" hidden="false" customHeight="false" outlineLevel="0" collapsed="false">
      <c r="A14" s="12" t="s">
        <v>496</v>
      </c>
      <c r="B14" s="12" t="s">
        <v>710</v>
      </c>
      <c r="C14" s="12" t="s">
        <v>711</v>
      </c>
      <c r="D14" s="12" t="s">
        <v>711</v>
      </c>
    </row>
    <row r="15" customFormat="false" ht="15" hidden="false" customHeight="false" outlineLevel="0" collapsed="false">
      <c r="A15" s="12" t="s">
        <v>496</v>
      </c>
      <c r="B15" s="12" t="s">
        <v>712</v>
      </c>
      <c r="C15" s="12" t="s">
        <v>713</v>
      </c>
      <c r="D15" s="12" t="s">
        <v>714</v>
      </c>
    </row>
    <row r="16" customFormat="false" ht="15" hidden="false" customHeight="false" outlineLevel="0" collapsed="false">
      <c r="A16" s="12" t="s">
        <v>496</v>
      </c>
      <c r="B16" s="12" t="s">
        <v>715</v>
      </c>
      <c r="C16" s="12" t="s">
        <v>716</v>
      </c>
      <c r="D16" s="12" t="s">
        <v>717</v>
      </c>
    </row>
    <row r="17" customFormat="false" ht="15" hidden="false" customHeight="false" outlineLevel="0" collapsed="false">
      <c r="A17" s="12" t="s">
        <v>496</v>
      </c>
      <c r="B17" s="12" t="s">
        <v>718</v>
      </c>
      <c r="C17" s="12" t="s">
        <v>719</v>
      </c>
      <c r="D17" s="12" t="s">
        <v>720</v>
      </c>
    </row>
    <row r="18" customFormat="false" ht="15" hidden="false" customHeight="false" outlineLevel="0" collapsed="false">
      <c r="A18" s="12" t="s">
        <v>496</v>
      </c>
      <c r="B18" s="12" t="s">
        <v>721</v>
      </c>
      <c r="C18" s="12" t="s">
        <v>722</v>
      </c>
      <c r="D18" s="12" t="s">
        <v>723</v>
      </c>
    </row>
    <row r="19" customFormat="false" ht="15" hidden="false" customHeight="false" outlineLevel="0" collapsed="false">
      <c r="A19" s="12" t="s">
        <v>496</v>
      </c>
      <c r="B19" s="12" t="s">
        <v>724</v>
      </c>
      <c r="C19" s="12" t="s">
        <v>725</v>
      </c>
      <c r="D19" s="12" t="s">
        <v>726</v>
      </c>
    </row>
    <row r="20" customFormat="false" ht="15" hidden="false" customHeight="false" outlineLevel="0" collapsed="false">
      <c r="A20" s="12" t="s">
        <v>496</v>
      </c>
      <c r="B20" s="12" t="s">
        <v>727</v>
      </c>
      <c r="C20" s="12" t="s">
        <v>728</v>
      </c>
      <c r="D20" s="12" t="s">
        <v>729</v>
      </c>
    </row>
    <row r="21" customFormat="false" ht="15" hidden="false" customHeight="false" outlineLevel="0" collapsed="false">
      <c r="A21" s="12" t="s">
        <v>496</v>
      </c>
      <c r="B21" s="12" t="s">
        <v>730</v>
      </c>
      <c r="C21" s="12" t="s">
        <v>731</v>
      </c>
      <c r="D21" s="12" t="s">
        <v>732</v>
      </c>
    </row>
    <row r="22" customFormat="false" ht="15" hidden="false" customHeight="false" outlineLevel="0" collapsed="false">
      <c r="A22" s="12" t="s">
        <v>496</v>
      </c>
      <c r="B22" s="12" t="s">
        <v>733</v>
      </c>
      <c r="C22" s="12" t="s">
        <v>734</v>
      </c>
      <c r="D22" s="12" t="s">
        <v>735</v>
      </c>
    </row>
    <row r="23" customFormat="false" ht="15" hidden="false" customHeight="false" outlineLevel="0" collapsed="false">
      <c r="A23" s="12" t="s">
        <v>496</v>
      </c>
      <c r="B23" s="12" t="s">
        <v>736</v>
      </c>
      <c r="C23" s="12" t="s">
        <v>737</v>
      </c>
      <c r="D23" s="12" t="s">
        <v>738</v>
      </c>
    </row>
    <row r="24" customFormat="false" ht="15" hidden="false" customHeight="false" outlineLevel="0" collapsed="false">
      <c r="A24" s="12" t="s">
        <v>496</v>
      </c>
      <c r="B24" s="12" t="s">
        <v>739</v>
      </c>
      <c r="C24" s="12" t="s">
        <v>740</v>
      </c>
      <c r="D24" s="12" t="s">
        <v>741</v>
      </c>
    </row>
    <row r="25" customFormat="false" ht="15" hidden="false" customHeight="false" outlineLevel="0" collapsed="false">
      <c r="A25" s="12" t="s">
        <v>496</v>
      </c>
      <c r="B25" s="12" t="s">
        <v>742</v>
      </c>
      <c r="C25" s="12" t="s">
        <v>743</v>
      </c>
      <c r="D25" s="12" t="s">
        <v>744</v>
      </c>
    </row>
    <row r="26" customFormat="false" ht="15" hidden="false" customHeight="false" outlineLevel="0" collapsed="false">
      <c r="A26" s="12" t="s">
        <v>496</v>
      </c>
      <c r="B26" s="12" t="s">
        <v>745</v>
      </c>
      <c r="C26" s="12" t="s">
        <v>746</v>
      </c>
      <c r="D26" s="12" t="s">
        <v>747</v>
      </c>
    </row>
    <row r="27" customFormat="false" ht="15" hidden="false" customHeight="false" outlineLevel="0" collapsed="false">
      <c r="A27" s="12" t="s">
        <v>496</v>
      </c>
      <c r="B27" s="12" t="s">
        <v>748</v>
      </c>
      <c r="C27" s="12" t="s">
        <v>749</v>
      </c>
      <c r="D27" s="12" t="s">
        <v>750</v>
      </c>
    </row>
    <row r="28" customFormat="false" ht="15" hidden="false" customHeight="false" outlineLevel="0" collapsed="false">
      <c r="A28" s="12" t="s">
        <v>496</v>
      </c>
      <c r="B28" s="12" t="s">
        <v>751</v>
      </c>
      <c r="C28" s="12" t="s">
        <v>752</v>
      </c>
      <c r="D28" s="12" t="s">
        <v>753</v>
      </c>
    </row>
    <row r="29" customFormat="false" ht="15" hidden="false" customHeight="false" outlineLevel="0" collapsed="false">
      <c r="A29" s="12" t="s">
        <v>496</v>
      </c>
      <c r="B29" s="12" t="s">
        <v>754</v>
      </c>
      <c r="C29" s="12" t="s">
        <v>755</v>
      </c>
      <c r="D29" s="12" t="s">
        <v>756</v>
      </c>
    </row>
    <row r="30" customFormat="false" ht="15" hidden="false" customHeight="false" outlineLevel="0" collapsed="false">
      <c r="A30" s="12" t="s">
        <v>500</v>
      </c>
      <c r="B30" s="12" t="s">
        <v>757</v>
      </c>
      <c r="C30" s="12" t="s">
        <v>758</v>
      </c>
      <c r="D30" s="12" t="s">
        <v>759</v>
      </c>
    </row>
    <row r="31" customFormat="false" ht="15" hidden="false" customHeight="false" outlineLevel="0" collapsed="false">
      <c r="A31" s="12" t="s">
        <v>500</v>
      </c>
      <c r="B31" s="12" t="s">
        <v>760</v>
      </c>
      <c r="C31" s="12" t="s">
        <v>761</v>
      </c>
      <c r="D31" s="12" t="s">
        <v>762</v>
      </c>
    </row>
    <row r="32" customFormat="false" ht="15" hidden="false" customHeight="false" outlineLevel="0" collapsed="false">
      <c r="A32" s="12" t="s">
        <v>500</v>
      </c>
      <c r="B32" s="12" t="s">
        <v>763</v>
      </c>
      <c r="C32" s="12" t="s">
        <v>764</v>
      </c>
      <c r="D32" s="12" t="s">
        <v>765</v>
      </c>
    </row>
    <row r="33" customFormat="false" ht="15" hidden="false" customHeight="false" outlineLevel="0" collapsed="false">
      <c r="A33" s="12" t="s">
        <v>500</v>
      </c>
      <c r="B33" s="12" t="s">
        <v>766</v>
      </c>
      <c r="C33" s="12" t="s">
        <v>767</v>
      </c>
      <c r="D33" s="12" t="s">
        <v>768</v>
      </c>
    </row>
    <row r="34" customFormat="false" ht="15" hidden="false" customHeight="false" outlineLevel="0" collapsed="false">
      <c r="A34" s="12" t="s">
        <v>500</v>
      </c>
      <c r="B34" s="12" t="s">
        <v>769</v>
      </c>
      <c r="C34" s="12" t="s">
        <v>770</v>
      </c>
      <c r="D34" s="12" t="s">
        <v>771</v>
      </c>
    </row>
    <row r="35" customFormat="false" ht="15" hidden="false" customHeight="false" outlineLevel="0" collapsed="false">
      <c r="A35" s="12" t="s">
        <v>500</v>
      </c>
      <c r="B35" s="12" t="s">
        <v>772</v>
      </c>
      <c r="C35" s="12" t="s">
        <v>773</v>
      </c>
      <c r="D35" s="12" t="s">
        <v>774</v>
      </c>
    </row>
    <row r="36" customFormat="false" ht="15" hidden="false" customHeight="false" outlineLevel="0" collapsed="false">
      <c r="A36" s="12" t="s">
        <v>500</v>
      </c>
      <c r="B36" s="12" t="s">
        <v>775</v>
      </c>
      <c r="C36" s="12" t="s">
        <v>776</v>
      </c>
      <c r="D36" s="12" t="s">
        <v>777</v>
      </c>
    </row>
    <row r="37" customFormat="false" ht="15" hidden="false" customHeight="false" outlineLevel="0" collapsed="false">
      <c r="A37" s="12" t="s">
        <v>500</v>
      </c>
      <c r="B37" s="12" t="s">
        <v>778</v>
      </c>
      <c r="C37" s="12" t="s">
        <v>779</v>
      </c>
      <c r="D37" s="12" t="s">
        <v>780</v>
      </c>
    </row>
    <row r="38" customFormat="false" ht="15" hidden="false" customHeight="false" outlineLevel="0" collapsed="false">
      <c r="A38" s="12" t="s">
        <v>500</v>
      </c>
      <c r="B38" s="12" t="s">
        <v>781</v>
      </c>
      <c r="C38" s="12" t="s">
        <v>782</v>
      </c>
      <c r="D38" s="12" t="s">
        <v>783</v>
      </c>
    </row>
    <row r="39" customFormat="false" ht="15" hidden="false" customHeight="false" outlineLevel="0" collapsed="false">
      <c r="A39" s="12" t="s">
        <v>500</v>
      </c>
      <c r="B39" s="12" t="s">
        <v>784</v>
      </c>
      <c r="C39" s="12" t="s">
        <v>785</v>
      </c>
      <c r="D39" s="12" t="s">
        <v>786</v>
      </c>
    </row>
    <row r="40" customFormat="false" ht="15" hidden="false" customHeight="false" outlineLevel="0" collapsed="false">
      <c r="A40" s="12" t="s">
        <v>500</v>
      </c>
      <c r="B40" s="12" t="s">
        <v>787</v>
      </c>
      <c r="C40" s="12" t="s">
        <v>788</v>
      </c>
      <c r="D40" s="12" t="s">
        <v>789</v>
      </c>
    </row>
    <row r="41" customFormat="false" ht="15" hidden="false" customHeight="false" outlineLevel="0" collapsed="false">
      <c r="A41" s="12" t="s">
        <v>500</v>
      </c>
      <c r="B41" s="12" t="s">
        <v>790</v>
      </c>
      <c r="C41" s="12" t="s">
        <v>791</v>
      </c>
      <c r="D41" s="12" t="s">
        <v>792</v>
      </c>
    </row>
    <row r="42" customFormat="false" ht="15" hidden="false" customHeight="false" outlineLevel="0" collapsed="false">
      <c r="A42" s="12" t="s">
        <v>500</v>
      </c>
      <c r="B42" s="12" t="s">
        <v>793</v>
      </c>
      <c r="C42" s="12" t="s">
        <v>794</v>
      </c>
      <c r="D42" s="12" t="s">
        <v>795</v>
      </c>
    </row>
    <row r="43" customFormat="false" ht="15" hidden="false" customHeight="false" outlineLevel="0" collapsed="false">
      <c r="A43" s="12" t="s">
        <v>504</v>
      </c>
      <c r="B43" s="12" t="s">
        <v>796</v>
      </c>
      <c r="C43" s="12" t="s">
        <v>797</v>
      </c>
      <c r="D43" s="12" t="s">
        <v>798</v>
      </c>
    </row>
    <row r="44" customFormat="false" ht="15" hidden="false" customHeight="false" outlineLevel="0" collapsed="false">
      <c r="A44" s="12" t="s">
        <v>504</v>
      </c>
      <c r="B44" s="12" t="s">
        <v>799</v>
      </c>
      <c r="C44" s="12" t="s">
        <v>800</v>
      </c>
      <c r="D44" s="12" t="s">
        <v>801</v>
      </c>
    </row>
    <row r="45" customFormat="false" ht="15" hidden="false" customHeight="false" outlineLevel="0" collapsed="false">
      <c r="A45" s="12" t="s">
        <v>504</v>
      </c>
      <c r="B45" s="12" t="s">
        <v>802</v>
      </c>
      <c r="C45" s="12" t="s">
        <v>803</v>
      </c>
      <c r="D45" s="12" t="s">
        <v>804</v>
      </c>
    </row>
    <row r="46" customFormat="false" ht="15" hidden="false" customHeight="false" outlineLevel="0" collapsed="false">
      <c r="A46" s="12" t="s">
        <v>504</v>
      </c>
      <c r="B46" s="12" t="s">
        <v>805</v>
      </c>
      <c r="C46" s="12" t="s">
        <v>806</v>
      </c>
      <c r="D46" s="12" t="s">
        <v>807</v>
      </c>
    </row>
    <row r="47" customFormat="false" ht="15" hidden="false" customHeight="false" outlineLevel="0" collapsed="false">
      <c r="A47" s="12" t="s">
        <v>504</v>
      </c>
      <c r="B47" s="12" t="s">
        <v>808</v>
      </c>
      <c r="C47" s="12" t="s">
        <v>809</v>
      </c>
      <c r="D47" s="12" t="s">
        <v>810</v>
      </c>
    </row>
    <row r="48" customFormat="false" ht="15" hidden="false" customHeight="false" outlineLevel="0" collapsed="false">
      <c r="A48" s="12" t="s">
        <v>504</v>
      </c>
      <c r="B48" s="12" t="s">
        <v>811</v>
      </c>
      <c r="C48" s="12" t="s">
        <v>812</v>
      </c>
      <c r="D48" s="12" t="s">
        <v>813</v>
      </c>
    </row>
    <row r="49" customFormat="false" ht="15" hidden="false" customHeight="false" outlineLevel="0" collapsed="false">
      <c r="A49" s="12" t="s">
        <v>504</v>
      </c>
      <c r="B49" s="12" t="s">
        <v>814</v>
      </c>
      <c r="C49" s="12" t="s">
        <v>815</v>
      </c>
      <c r="D49" s="12" t="s">
        <v>816</v>
      </c>
    </row>
    <row r="50" customFormat="false" ht="15" hidden="false" customHeight="false" outlineLevel="0" collapsed="false">
      <c r="A50" s="12" t="s">
        <v>504</v>
      </c>
      <c r="B50" s="12" t="s">
        <v>817</v>
      </c>
      <c r="C50" s="12" t="s">
        <v>818</v>
      </c>
      <c r="D50" s="12" t="s">
        <v>819</v>
      </c>
    </row>
    <row r="51" customFormat="false" ht="15" hidden="false" customHeight="false" outlineLevel="0" collapsed="false">
      <c r="A51" s="12" t="s">
        <v>504</v>
      </c>
      <c r="B51" s="12" t="s">
        <v>820</v>
      </c>
      <c r="C51" s="12" t="s">
        <v>821</v>
      </c>
      <c r="D51" s="12" t="s">
        <v>822</v>
      </c>
    </row>
    <row r="52" customFormat="false" ht="15" hidden="false" customHeight="false" outlineLevel="0" collapsed="false">
      <c r="A52" s="12" t="s">
        <v>504</v>
      </c>
      <c r="B52" s="12" t="s">
        <v>823</v>
      </c>
      <c r="C52" s="12" t="s">
        <v>824</v>
      </c>
      <c r="D52" s="12" t="s">
        <v>825</v>
      </c>
    </row>
    <row r="53" customFormat="false" ht="15" hidden="false" customHeight="false" outlineLevel="0" collapsed="false">
      <c r="A53" s="12" t="s">
        <v>504</v>
      </c>
      <c r="B53" s="12" t="s">
        <v>826</v>
      </c>
      <c r="C53" s="12" t="s">
        <v>827</v>
      </c>
      <c r="D53" s="12" t="s">
        <v>828</v>
      </c>
    </row>
    <row r="54" customFormat="false" ht="15" hidden="false" customHeight="false" outlineLevel="0" collapsed="false">
      <c r="A54" s="12" t="s">
        <v>504</v>
      </c>
      <c r="B54" s="12" t="s">
        <v>829</v>
      </c>
      <c r="C54" s="12" t="s">
        <v>830</v>
      </c>
      <c r="D54" s="12" t="s">
        <v>831</v>
      </c>
    </row>
    <row r="55" customFormat="false" ht="15" hidden="false" customHeight="false" outlineLevel="0" collapsed="false">
      <c r="A55" s="12" t="s">
        <v>504</v>
      </c>
      <c r="B55" s="12" t="s">
        <v>832</v>
      </c>
      <c r="C55" s="12" t="s">
        <v>833</v>
      </c>
      <c r="D55" s="12" t="s">
        <v>834</v>
      </c>
    </row>
    <row r="56" customFormat="false" ht="15" hidden="false" customHeight="false" outlineLevel="0" collapsed="false">
      <c r="A56" s="12" t="s">
        <v>504</v>
      </c>
      <c r="B56" s="12" t="s">
        <v>835</v>
      </c>
      <c r="C56" s="12" t="s">
        <v>836</v>
      </c>
      <c r="D56" s="12" t="s">
        <v>837</v>
      </c>
    </row>
    <row r="57" customFormat="false" ht="15" hidden="false" customHeight="false" outlineLevel="0" collapsed="false">
      <c r="A57" s="12" t="s">
        <v>504</v>
      </c>
      <c r="B57" s="12" t="s">
        <v>838</v>
      </c>
      <c r="C57" s="12" t="s">
        <v>839</v>
      </c>
      <c r="D57" s="12" t="s">
        <v>840</v>
      </c>
    </row>
    <row r="58" customFormat="false" ht="15" hidden="false" customHeight="false" outlineLevel="0" collapsed="false">
      <c r="A58" s="12" t="s">
        <v>504</v>
      </c>
      <c r="B58" s="12" t="s">
        <v>841</v>
      </c>
      <c r="C58" s="12" t="s">
        <v>842</v>
      </c>
      <c r="D58" s="12" t="s">
        <v>843</v>
      </c>
    </row>
    <row r="59" customFormat="false" ht="15" hidden="false" customHeight="false" outlineLevel="0" collapsed="false">
      <c r="A59" s="12" t="s">
        <v>504</v>
      </c>
      <c r="B59" s="12" t="s">
        <v>844</v>
      </c>
      <c r="C59" s="12" t="s">
        <v>845</v>
      </c>
      <c r="D59" s="12" t="s">
        <v>846</v>
      </c>
    </row>
    <row r="60" customFormat="false" ht="15" hidden="false" customHeight="false" outlineLevel="0" collapsed="false">
      <c r="A60" s="12" t="s">
        <v>504</v>
      </c>
      <c r="B60" s="12" t="s">
        <v>847</v>
      </c>
      <c r="C60" s="12" t="s">
        <v>848</v>
      </c>
      <c r="D60" s="12" t="s">
        <v>849</v>
      </c>
    </row>
    <row r="61" customFormat="false" ht="15" hidden="false" customHeight="false" outlineLevel="0" collapsed="false">
      <c r="A61" s="12" t="s">
        <v>504</v>
      </c>
      <c r="B61" s="12" t="s">
        <v>850</v>
      </c>
      <c r="C61" s="12" t="s">
        <v>851</v>
      </c>
      <c r="D61" s="12" t="s">
        <v>852</v>
      </c>
    </row>
    <row r="62" customFormat="false" ht="15" hidden="false" customHeight="false" outlineLevel="0" collapsed="false">
      <c r="A62" s="12" t="s">
        <v>504</v>
      </c>
      <c r="B62" s="12" t="s">
        <v>853</v>
      </c>
      <c r="C62" s="12" t="s">
        <v>854</v>
      </c>
      <c r="D62" s="12" t="s">
        <v>855</v>
      </c>
    </row>
    <row r="63" customFormat="false" ht="15" hidden="false" customHeight="false" outlineLevel="0" collapsed="false">
      <c r="A63" s="12" t="s">
        <v>504</v>
      </c>
      <c r="B63" s="12" t="s">
        <v>856</v>
      </c>
      <c r="C63" s="12" t="s">
        <v>857</v>
      </c>
      <c r="D63" s="12" t="s">
        <v>858</v>
      </c>
    </row>
    <row r="64" customFormat="false" ht="15" hidden="false" customHeight="false" outlineLevel="0" collapsed="false">
      <c r="A64" s="12" t="s">
        <v>504</v>
      </c>
      <c r="B64" s="12" t="s">
        <v>859</v>
      </c>
      <c r="C64" s="12" t="s">
        <v>860</v>
      </c>
      <c r="D64" s="12" t="s">
        <v>861</v>
      </c>
    </row>
    <row r="65" customFormat="false" ht="15" hidden="false" customHeight="false" outlineLevel="0" collapsed="false">
      <c r="A65" s="12" t="s">
        <v>504</v>
      </c>
      <c r="B65" s="12" t="s">
        <v>862</v>
      </c>
      <c r="C65" s="12" t="s">
        <v>863</v>
      </c>
      <c r="D65" s="12" t="s">
        <v>864</v>
      </c>
    </row>
    <row r="66" customFormat="false" ht="15" hidden="false" customHeight="false" outlineLevel="0" collapsed="false">
      <c r="A66" s="12" t="s">
        <v>504</v>
      </c>
      <c r="B66" s="12" t="s">
        <v>865</v>
      </c>
      <c r="C66" s="12" t="s">
        <v>866</v>
      </c>
      <c r="D66" s="12" t="s">
        <v>867</v>
      </c>
    </row>
    <row r="67" customFormat="false" ht="15" hidden="false" customHeight="false" outlineLevel="0" collapsed="false">
      <c r="A67" s="12" t="s">
        <v>504</v>
      </c>
      <c r="B67" s="12" t="s">
        <v>868</v>
      </c>
      <c r="C67" s="12" t="s">
        <v>869</v>
      </c>
      <c r="D67" s="12" t="s">
        <v>870</v>
      </c>
    </row>
    <row r="68" customFormat="false" ht="15" hidden="false" customHeight="false" outlineLevel="0" collapsed="false">
      <c r="A68" s="12" t="s">
        <v>504</v>
      </c>
      <c r="B68" s="12" t="s">
        <v>237</v>
      </c>
      <c r="C68" s="12" t="s">
        <v>871</v>
      </c>
      <c r="D68" s="12" t="s">
        <v>872</v>
      </c>
    </row>
    <row r="69" customFormat="false" ht="15" hidden="false" customHeight="false" outlineLevel="0" collapsed="false">
      <c r="A69" s="12" t="s">
        <v>504</v>
      </c>
      <c r="B69" s="12" t="s">
        <v>873</v>
      </c>
      <c r="C69" s="12" t="s">
        <v>874</v>
      </c>
      <c r="D69" s="12" t="s">
        <v>875</v>
      </c>
    </row>
    <row r="70" customFormat="false" ht="15" hidden="false" customHeight="false" outlineLevel="0" collapsed="false">
      <c r="A70" s="12" t="s">
        <v>509</v>
      </c>
      <c r="B70" s="12" t="s">
        <v>876</v>
      </c>
      <c r="C70" s="12" t="s">
        <v>877</v>
      </c>
      <c r="D70" s="12" t="s">
        <v>878</v>
      </c>
    </row>
    <row r="71" customFormat="false" ht="15" hidden="false" customHeight="false" outlineLevel="0" collapsed="false">
      <c r="A71" s="12" t="s">
        <v>509</v>
      </c>
      <c r="B71" s="12" t="s">
        <v>879</v>
      </c>
      <c r="C71" s="12" t="s">
        <v>880</v>
      </c>
      <c r="D71" s="12" t="s">
        <v>881</v>
      </c>
    </row>
    <row r="72" customFormat="false" ht="15" hidden="false" customHeight="false" outlineLevel="0" collapsed="false">
      <c r="A72" s="12" t="s">
        <v>509</v>
      </c>
      <c r="B72" s="12" t="s">
        <v>882</v>
      </c>
      <c r="C72" s="12" t="s">
        <v>883</v>
      </c>
      <c r="D72" s="12" t="s">
        <v>884</v>
      </c>
    </row>
    <row r="73" customFormat="false" ht="15" hidden="false" customHeight="false" outlineLevel="0" collapsed="false">
      <c r="A73" s="12" t="s">
        <v>509</v>
      </c>
      <c r="B73" s="12" t="s">
        <v>885</v>
      </c>
      <c r="C73" s="12" t="s">
        <v>886</v>
      </c>
      <c r="D73" s="12" t="s">
        <v>887</v>
      </c>
    </row>
    <row r="74" customFormat="false" ht="15" hidden="false" customHeight="false" outlineLevel="0" collapsed="false">
      <c r="A74" s="12" t="s">
        <v>509</v>
      </c>
      <c r="B74" s="12" t="s">
        <v>888</v>
      </c>
      <c r="C74" s="12" t="s">
        <v>889</v>
      </c>
      <c r="D74" s="12" t="s">
        <v>890</v>
      </c>
    </row>
    <row r="75" customFormat="false" ht="15" hidden="false" customHeight="false" outlineLevel="0" collapsed="false">
      <c r="A75" s="12" t="s">
        <v>509</v>
      </c>
      <c r="B75" s="12" t="s">
        <v>891</v>
      </c>
      <c r="C75" s="12" t="s">
        <v>892</v>
      </c>
      <c r="D75" s="12" t="s">
        <v>893</v>
      </c>
    </row>
    <row r="76" customFormat="false" ht="15" hidden="false" customHeight="false" outlineLevel="0" collapsed="false">
      <c r="A76" s="12" t="s">
        <v>509</v>
      </c>
      <c r="B76" s="12" t="s">
        <v>894</v>
      </c>
      <c r="C76" s="12" t="s">
        <v>895</v>
      </c>
      <c r="D76" s="12" t="s">
        <v>896</v>
      </c>
    </row>
    <row r="77" customFormat="false" ht="15" hidden="false" customHeight="false" outlineLevel="0" collapsed="false">
      <c r="A77" s="12" t="s">
        <v>509</v>
      </c>
      <c r="B77" s="12" t="s">
        <v>897</v>
      </c>
      <c r="C77" s="12" t="s">
        <v>898</v>
      </c>
      <c r="D77" s="12" t="s">
        <v>899</v>
      </c>
    </row>
    <row r="78" customFormat="false" ht="15" hidden="false" customHeight="false" outlineLevel="0" collapsed="false">
      <c r="A78" s="12" t="s">
        <v>509</v>
      </c>
      <c r="B78" s="12" t="s">
        <v>900</v>
      </c>
      <c r="C78" s="12" t="s">
        <v>901</v>
      </c>
      <c r="D78" s="12" t="s">
        <v>902</v>
      </c>
    </row>
    <row r="79" customFormat="false" ht="15" hidden="false" customHeight="false" outlineLevel="0" collapsed="false">
      <c r="A79" s="12" t="s">
        <v>509</v>
      </c>
      <c r="B79" s="12" t="s">
        <v>903</v>
      </c>
      <c r="C79" s="12" t="s">
        <v>904</v>
      </c>
      <c r="D79" s="12" t="s">
        <v>905</v>
      </c>
    </row>
    <row r="80" customFormat="false" ht="15" hidden="false" customHeight="false" outlineLevel="0" collapsed="false">
      <c r="A80" s="12" t="s">
        <v>509</v>
      </c>
      <c r="B80" s="12" t="s">
        <v>829</v>
      </c>
      <c r="C80" s="12" t="s">
        <v>830</v>
      </c>
      <c r="D80" s="12" t="s">
        <v>831</v>
      </c>
    </row>
    <row r="81" customFormat="false" ht="15" hidden="false" customHeight="false" outlineLevel="0" collapsed="false">
      <c r="A81" s="12" t="s">
        <v>509</v>
      </c>
      <c r="B81" s="12" t="s">
        <v>906</v>
      </c>
      <c r="C81" s="12" t="s">
        <v>907</v>
      </c>
      <c r="D81" s="12" t="s">
        <v>908</v>
      </c>
    </row>
    <row r="82" customFormat="false" ht="15" hidden="false" customHeight="false" outlineLevel="0" collapsed="false">
      <c r="A82" s="12" t="s">
        <v>542</v>
      </c>
      <c r="B82" s="12" t="s">
        <v>264</v>
      </c>
      <c r="C82" s="12" t="s">
        <v>909</v>
      </c>
      <c r="D82" s="12" t="s">
        <v>910</v>
      </c>
    </row>
    <row r="83" customFormat="false" ht="15" hidden="false" customHeight="false" outlineLevel="0" collapsed="false">
      <c r="A83" s="12" t="s">
        <v>542</v>
      </c>
      <c r="B83" s="12" t="s">
        <v>911</v>
      </c>
      <c r="C83" s="12" t="s">
        <v>912</v>
      </c>
      <c r="D83" s="12" t="s">
        <v>913</v>
      </c>
    </row>
    <row r="84" customFormat="false" ht="15" hidden="false" customHeight="false" outlineLevel="0" collapsed="false">
      <c r="A84" s="12" t="s">
        <v>542</v>
      </c>
      <c r="B84" s="12" t="s">
        <v>914</v>
      </c>
      <c r="C84" s="12" t="s">
        <v>915</v>
      </c>
      <c r="D84" s="12" t="s">
        <v>916</v>
      </c>
    </row>
    <row r="85" customFormat="false" ht="15" hidden="false" customHeight="false" outlineLevel="0" collapsed="false">
      <c r="A85" s="12" t="s">
        <v>542</v>
      </c>
      <c r="B85" s="12" t="s">
        <v>917</v>
      </c>
      <c r="C85" s="12" t="s">
        <v>918</v>
      </c>
      <c r="D85" s="12" t="s">
        <v>919</v>
      </c>
    </row>
    <row r="86" customFormat="false" ht="15" hidden="false" customHeight="false" outlineLevel="0" collapsed="false">
      <c r="A86" s="12" t="s">
        <v>542</v>
      </c>
      <c r="B86" s="12" t="s">
        <v>920</v>
      </c>
      <c r="C86" s="12" t="s">
        <v>921</v>
      </c>
      <c r="D86" s="12" t="s">
        <v>383</v>
      </c>
    </row>
    <row r="87" customFormat="false" ht="15" hidden="false" customHeight="false" outlineLevel="0" collapsed="false">
      <c r="A87" s="12" t="s">
        <v>542</v>
      </c>
      <c r="B87" s="12" t="s">
        <v>922</v>
      </c>
      <c r="C87" s="12" t="s">
        <v>923</v>
      </c>
      <c r="D87" s="12" t="s">
        <v>924</v>
      </c>
    </row>
    <row r="88" customFormat="false" ht="15" hidden="false" customHeight="false" outlineLevel="0" collapsed="false">
      <c r="A88" s="12" t="s">
        <v>542</v>
      </c>
      <c r="B88" s="12" t="s">
        <v>925</v>
      </c>
      <c r="C88" s="12" t="s">
        <v>926</v>
      </c>
      <c r="D88" s="12" t="s">
        <v>927</v>
      </c>
    </row>
    <row r="89" customFormat="false" ht="15" hidden="false" customHeight="false" outlineLevel="0" collapsed="false">
      <c r="A89" s="12" t="s">
        <v>542</v>
      </c>
      <c r="B89" s="12" t="s">
        <v>403</v>
      </c>
      <c r="C89" s="12" t="s">
        <v>928</v>
      </c>
      <c r="D89" s="12" t="s">
        <v>750</v>
      </c>
    </row>
    <row r="90" customFormat="false" ht="15" hidden="false" customHeight="false" outlineLevel="0" collapsed="false">
      <c r="A90" s="12" t="s">
        <v>542</v>
      </c>
      <c r="B90" s="12" t="s">
        <v>929</v>
      </c>
      <c r="C90" s="12" t="s">
        <v>930</v>
      </c>
      <c r="D90" s="12" t="s">
        <v>753</v>
      </c>
    </row>
    <row r="91" customFormat="false" ht="15" hidden="false" customHeight="false" outlineLevel="0" collapsed="false">
      <c r="A91" s="12" t="s">
        <v>542</v>
      </c>
      <c r="B91" s="12" t="s">
        <v>931</v>
      </c>
      <c r="C91" s="12" t="s">
        <v>932</v>
      </c>
      <c r="D91" s="12" t="s">
        <v>933</v>
      </c>
    </row>
    <row r="92" customFormat="false" ht="15" hidden="false" customHeight="false" outlineLevel="0" collapsed="false">
      <c r="A92" s="12" t="s">
        <v>569</v>
      </c>
      <c r="B92" s="12" t="s">
        <v>934</v>
      </c>
      <c r="C92" s="12" t="s">
        <v>935</v>
      </c>
      <c r="D92" s="12" t="s">
        <v>936</v>
      </c>
    </row>
    <row r="93" customFormat="false" ht="15" hidden="false" customHeight="false" outlineLevel="0" collapsed="false">
      <c r="A93" s="12" t="s">
        <v>569</v>
      </c>
      <c r="B93" s="12" t="s">
        <v>937</v>
      </c>
      <c r="C93" s="12" t="s">
        <v>938</v>
      </c>
      <c r="D93" s="12" t="s">
        <v>939</v>
      </c>
    </row>
    <row r="94" customFormat="false" ht="15" hidden="false" customHeight="false" outlineLevel="0" collapsed="false">
      <c r="A94" s="12" t="s">
        <v>569</v>
      </c>
      <c r="B94" s="12" t="s">
        <v>940</v>
      </c>
      <c r="C94" s="12" t="s">
        <v>941</v>
      </c>
      <c r="D94" s="12" t="s">
        <v>942</v>
      </c>
    </row>
    <row r="95" customFormat="false" ht="15" hidden="false" customHeight="false" outlineLevel="0" collapsed="false">
      <c r="A95" s="12" t="s">
        <v>569</v>
      </c>
      <c r="B95" s="12" t="s">
        <v>943</v>
      </c>
      <c r="C95" s="12" t="s">
        <v>944</v>
      </c>
      <c r="D95" s="12" t="s">
        <v>945</v>
      </c>
    </row>
    <row r="96" customFormat="false" ht="15" hidden="false" customHeight="false" outlineLevel="0" collapsed="false">
      <c r="A96" s="12" t="s">
        <v>569</v>
      </c>
      <c r="B96" s="12" t="s">
        <v>946</v>
      </c>
      <c r="C96" s="12" t="s">
        <v>947</v>
      </c>
      <c r="D96" s="12" t="s">
        <v>948</v>
      </c>
    </row>
    <row r="97" customFormat="false" ht="15" hidden="false" customHeight="false" outlineLevel="0" collapsed="false">
      <c r="A97" s="12" t="s">
        <v>569</v>
      </c>
      <c r="B97" s="12" t="s">
        <v>949</v>
      </c>
      <c r="C97" s="12" t="s">
        <v>950</v>
      </c>
      <c r="D97" s="12" t="s">
        <v>951</v>
      </c>
    </row>
    <row r="98" customFormat="false" ht="15" hidden="false" customHeight="false" outlineLevel="0" collapsed="false">
      <c r="A98" s="12" t="s">
        <v>598</v>
      </c>
      <c r="B98" s="12" t="s">
        <v>952</v>
      </c>
      <c r="C98" s="12" t="s">
        <v>953</v>
      </c>
      <c r="D98" s="12" t="s">
        <v>954</v>
      </c>
    </row>
    <row r="99" customFormat="false" ht="15" hidden="false" customHeight="false" outlineLevel="0" collapsed="false">
      <c r="A99" s="12" t="s">
        <v>598</v>
      </c>
      <c r="B99" s="12" t="s">
        <v>955</v>
      </c>
      <c r="C99" s="12" t="s">
        <v>956</v>
      </c>
      <c r="D99" s="12" t="s">
        <v>957</v>
      </c>
    </row>
    <row r="100" customFormat="false" ht="15" hidden="false" customHeight="false" outlineLevel="0" collapsed="false">
      <c r="A100" s="12" t="s">
        <v>598</v>
      </c>
      <c r="B100" s="12" t="s">
        <v>958</v>
      </c>
      <c r="C100" s="12" t="s">
        <v>959</v>
      </c>
      <c r="D100" s="12" t="s">
        <v>960</v>
      </c>
    </row>
    <row r="101" customFormat="false" ht="15" hidden="false" customHeight="false" outlineLevel="0" collapsed="false">
      <c r="A101" s="12" t="s">
        <v>598</v>
      </c>
      <c r="B101" s="12" t="s">
        <v>961</v>
      </c>
      <c r="C101" s="12" t="s">
        <v>962</v>
      </c>
      <c r="D101" s="12" t="s">
        <v>963</v>
      </c>
    </row>
    <row r="102" customFormat="false" ht="15" hidden="false" customHeight="false" outlineLevel="0" collapsed="false">
      <c r="A102" s="12" t="s">
        <v>598</v>
      </c>
      <c r="B102" s="12" t="s">
        <v>964</v>
      </c>
      <c r="C102" s="12" t="s">
        <v>964</v>
      </c>
      <c r="D102" s="12" t="s">
        <v>965</v>
      </c>
    </row>
    <row r="103" customFormat="false" ht="15" hidden="false" customHeight="false" outlineLevel="0" collapsed="false">
      <c r="A103" s="12" t="s">
        <v>598</v>
      </c>
      <c r="B103" s="12" t="s">
        <v>966</v>
      </c>
      <c r="C103" s="12" t="s">
        <v>967</v>
      </c>
      <c r="D103" s="12" t="s">
        <v>968</v>
      </c>
    </row>
    <row r="104" customFormat="false" ht="15" hidden="false" customHeight="false" outlineLevel="0" collapsed="false">
      <c r="A104" s="12" t="s">
        <v>598</v>
      </c>
      <c r="B104" s="12" t="s">
        <v>969</v>
      </c>
      <c r="C104" s="12" t="s">
        <v>969</v>
      </c>
      <c r="D104" s="12" t="s">
        <v>970</v>
      </c>
    </row>
    <row r="105" customFormat="false" ht="15" hidden="false" customHeight="false" outlineLevel="0" collapsed="false">
      <c r="A105" s="12" t="s">
        <v>598</v>
      </c>
      <c r="B105" s="12" t="s">
        <v>971</v>
      </c>
      <c r="C105" s="12" t="s">
        <v>971</v>
      </c>
      <c r="D105" s="12" t="s">
        <v>972</v>
      </c>
    </row>
    <row r="106" customFormat="false" ht="15" hidden="false" customHeight="false" outlineLevel="0" collapsed="false">
      <c r="A106" s="12" t="s">
        <v>598</v>
      </c>
      <c r="B106" s="12" t="s">
        <v>973</v>
      </c>
      <c r="C106" s="12" t="s">
        <v>973</v>
      </c>
      <c r="D106" s="12" t="s">
        <v>974</v>
      </c>
    </row>
    <row r="107" customFormat="false" ht="15" hidden="false" customHeight="false" outlineLevel="0" collapsed="false">
      <c r="A107" s="12" t="s">
        <v>601</v>
      </c>
      <c r="B107" s="12" t="s">
        <v>975</v>
      </c>
      <c r="C107" s="12" t="s">
        <v>975</v>
      </c>
      <c r="D107" s="12" t="s">
        <v>976</v>
      </c>
    </row>
    <row r="108" customFormat="false" ht="15" hidden="false" customHeight="false" outlineLevel="0" collapsed="false">
      <c r="A108" s="12" t="s">
        <v>601</v>
      </c>
      <c r="B108" s="12" t="s">
        <v>977</v>
      </c>
      <c r="C108" s="12" t="s">
        <v>977</v>
      </c>
      <c r="D108" s="12" t="s">
        <v>978</v>
      </c>
    </row>
    <row r="109" customFormat="false" ht="15" hidden="false" customHeight="false" outlineLevel="0" collapsed="false">
      <c r="A109" s="12" t="s">
        <v>601</v>
      </c>
      <c r="B109" s="12" t="s">
        <v>979</v>
      </c>
      <c r="C109" s="12" t="s">
        <v>979</v>
      </c>
      <c r="D109" s="12" t="s">
        <v>980</v>
      </c>
    </row>
    <row r="110" customFormat="false" ht="15" hidden="false" customHeight="false" outlineLevel="0" collapsed="false">
      <c r="A110" s="12" t="s">
        <v>601</v>
      </c>
      <c r="B110" s="12" t="s">
        <v>981</v>
      </c>
      <c r="C110" s="12" t="s">
        <v>981</v>
      </c>
      <c r="D110" s="12" t="s">
        <v>982</v>
      </c>
    </row>
    <row r="111" customFormat="false" ht="15" hidden="false" customHeight="false" outlineLevel="0" collapsed="false">
      <c r="A111" s="12" t="s">
        <v>601</v>
      </c>
      <c r="B111" s="12" t="s">
        <v>983</v>
      </c>
      <c r="C111" s="12" t="s">
        <v>983</v>
      </c>
      <c r="D111" s="12" t="s">
        <v>984</v>
      </c>
    </row>
    <row r="112" customFormat="false" ht="15" hidden="false" customHeight="false" outlineLevel="0" collapsed="false">
      <c r="A112" s="12" t="s">
        <v>601</v>
      </c>
      <c r="B112" s="12" t="s">
        <v>985</v>
      </c>
      <c r="C112" s="12" t="s">
        <v>985</v>
      </c>
      <c r="D112" s="12" t="s">
        <v>986</v>
      </c>
    </row>
    <row r="113" customFormat="false" ht="15" hidden="false" customHeight="false" outlineLevel="0" collapsed="false">
      <c r="A113" s="12" t="s">
        <v>601</v>
      </c>
      <c r="B113" s="12" t="s">
        <v>987</v>
      </c>
      <c r="C113" s="12" t="s">
        <v>987</v>
      </c>
      <c r="D113" s="12" t="s">
        <v>988</v>
      </c>
    </row>
    <row r="114" customFormat="false" ht="15" hidden="false" customHeight="false" outlineLevel="0" collapsed="false">
      <c r="A114" s="12" t="s">
        <v>601</v>
      </c>
      <c r="B114" s="12" t="s">
        <v>989</v>
      </c>
      <c r="C114" s="12" t="s">
        <v>989</v>
      </c>
      <c r="D114" s="12" t="s">
        <v>978</v>
      </c>
    </row>
    <row r="115" customFormat="false" ht="15" hidden="false" customHeight="false" outlineLevel="0" collapsed="false">
      <c r="A115" s="12" t="s">
        <v>601</v>
      </c>
      <c r="B115" s="12" t="s">
        <v>990</v>
      </c>
      <c r="C115" s="12" t="s">
        <v>990</v>
      </c>
      <c r="D115" s="12" t="s">
        <v>991</v>
      </c>
    </row>
    <row r="116" customFormat="false" ht="15" hidden="false" customHeight="false" outlineLevel="0" collapsed="false">
      <c r="A116" s="12" t="s">
        <v>601</v>
      </c>
      <c r="B116" s="12" t="s">
        <v>992</v>
      </c>
      <c r="C116" s="12" t="s">
        <v>992</v>
      </c>
      <c r="D116" s="12" t="s">
        <v>970</v>
      </c>
    </row>
    <row r="117" customFormat="false" ht="15" hidden="false" customHeight="false" outlineLevel="0" collapsed="false">
      <c r="A117" s="12" t="s">
        <v>601</v>
      </c>
      <c r="B117" s="12" t="s">
        <v>971</v>
      </c>
      <c r="C117" s="12" t="s">
        <v>971</v>
      </c>
      <c r="D117" s="12" t="s">
        <v>972</v>
      </c>
    </row>
    <row r="118" customFormat="false" ht="15" hidden="false" customHeight="false" outlineLevel="0" collapsed="false">
      <c r="A118" s="12" t="s">
        <v>601</v>
      </c>
      <c r="B118" s="12" t="s">
        <v>993</v>
      </c>
      <c r="C118" s="12" t="s">
        <v>993</v>
      </c>
      <c r="D118" s="12" t="s">
        <v>994</v>
      </c>
    </row>
    <row r="119" customFormat="false" ht="15" hidden="false" customHeight="false" outlineLevel="0" collapsed="false">
      <c r="A119" s="12" t="s">
        <v>601</v>
      </c>
      <c r="B119" s="12" t="s">
        <v>995</v>
      </c>
      <c r="C119" s="12" t="s">
        <v>995</v>
      </c>
      <c r="D119" s="12" t="s">
        <v>996</v>
      </c>
    </row>
  </sheetData>
  <autoFilter ref="A1:D11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8B57"/>
    <pageSetUpPr fitToPage="false"/>
  </sheetPr>
  <dimension ref="A1:E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0"/>
    <col collapsed="false" customWidth="true" hidden="false" outlineLevel="0" max="3" min="3" style="0" width="20"/>
    <col collapsed="false" customWidth="true" hidden="false" outlineLevel="0" max="4" min="4" style="0" width="21"/>
    <col collapsed="false" customWidth="true" hidden="false" outlineLevel="0" max="5" min="5" style="0" width="40"/>
  </cols>
  <sheetData>
    <row r="1" customFormat="false" ht="31.5" hidden="false" customHeight="true" outlineLevel="0" collapsed="false">
      <c r="A1" s="11" t="s">
        <v>997</v>
      </c>
      <c r="B1" s="11" t="s">
        <v>998</v>
      </c>
      <c r="C1" s="11" t="s">
        <v>999</v>
      </c>
      <c r="D1" s="11" t="s">
        <v>1000</v>
      </c>
      <c r="E1" s="11" t="s">
        <v>92</v>
      </c>
    </row>
    <row r="2" customFormat="false" ht="15" hidden="false" customHeight="false" outlineLevel="0" collapsed="false">
      <c r="A2" s="12" t="s">
        <v>970</v>
      </c>
      <c r="B2" s="12" t="s">
        <v>1001</v>
      </c>
      <c r="C2" s="12" t="s">
        <v>1002</v>
      </c>
      <c r="D2" s="12" t="s">
        <v>99</v>
      </c>
      <c r="E2" s="12"/>
    </row>
    <row r="3" customFormat="false" ht="15" hidden="false" customHeight="false" outlineLevel="0" collapsed="false">
      <c r="A3" s="12" t="s">
        <v>1003</v>
      </c>
      <c r="B3" s="12" t="s">
        <v>1001</v>
      </c>
      <c r="C3" s="12" t="s">
        <v>1004</v>
      </c>
      <c r="D3" s="12" t="s">
        <v>449</v>
      </c>
      <c r="E3" s="12" t="s">
        <v>1005</v>
      </c>
    </row>
    <row r="4" customFormat="false" ht="15" hidden="false" customHeight="false" outlineLevel="0" collapsed="false">
      <c r="A4" s="12" t="s">
        <v>1006</v>
      </c>
      <c r="B4" s="12" t="s">
        <v>1001</v>
      </c>
      <c r="C4" s="12" t="s">
        <v>491</v>
      </c>
      <c r="D4" s="12" t="s">
        <v>676</v>
      </c>
      <c r="E4" s="12"/>
    </row>
    <row r="5" customFormat="false" ht="15" hidden="false" customHeight="false" outlineLevel="0" collapsed="false">
      <c r="A5" s="12" t="s">
        <v>1007</v>
      </c>
      <c r="B5" s="12" t="s">
        <v>1001</v>
      </c>
      <c r="C5" s="12" t="s">
        <v>491</v>
      </c>
      <c r="D5" s="12" t="s">
        <v>676</v>
      </c>
      <c r="E5" s="12" t="s">
        <v>1008</v>
      </c>
    </row>
    <row r="6" customFormat="false" ht="15" hidden="false" customHeight="false" outlineLevel="0" collapsed="false">
      <c r="A6" s="12" t="s">
        <v>1009</v>
      </c>
      <c r="B6" s="12" t="s">
        <v>1001</v>
      </c>
      <c r="C6" s="12" t="s">
        <v>491</v>
      </c>
      <c r="D6" s="12" t="s">
        <v>679</v>
      </c>
      <c r="E6" s="12"/>
    </row>
    <row r="7" customFormat="false" ht="15" hidden="false" customHeight="false" outlineLevel="0" collapsed="false">
      <c r="A7" s="12" t="s">
        <v>1010</v>
      </c>
      <c r="B7" s="12" t="s">
        <v>1001</v>
      </c>
      <c r="C7" s="12" t="s">
        <v>491</v>
      </c>
      <c r="D7" s="12" t="s">
        <v>679</v>
      </c>
      <c r="E7" s="12" t="s">
        <v>1008</v>
      </c>
    </row>
    <row r="8" customFormat="false" ht="15" hidden="false" customHeight="false" outlineLevel="0" collapsed="false">
      <c r="A8" s="12" t="s">
        <v>1011</v>
      </c>
      <c r="B8" s="12" t="s">
        <v>1001</v>
      </c>
      <c r="C8" s="12" t="s">
        <v>491</v>
      </c>
      <c r="D8" s="12" t="s">
        <v>682</v>
      </c>
      <c r="E8" s="12"/>
    </row>
    <row r="9" customFormat="false" ht="15" hidden="false" customHeight="false" outlineLevel="0" collapsed="false">
      <c r="A9" s="12" t="s">
        <v>1012</v>
      </c>
      <c r="B9" s="12" t="s">
        <v>1001</v>
      </c>
      <c r="C9" s="12" t="s">
        <v>491</v>
      </c>
      <c r="D9" s="12" t="s">
        <v>682</v>
      </c>
      <c r="E9" s="12"/>
    </row>
    <row r="10" customFormat="false" ht="15" hidden="false" customHeight="false" outlineLevel="0" collapsed="false">
      <c r="A10" s="12" t="s">
        <v>1013</v>
      </c>
      <c r="B10" s="12" t="s">
        <v>1001</v>
      </c>
      <c r="C10" s="12" t="s">
        <v>1002</v>
      </c>
      <c r="D10" s="12" t="s">
        <v>104</v>
      </c>
      <c r="E10" s="12"/>
    </row>
    <row r="11" customFormat="false" ht="15" hidden="false" customHeight="false" outlineLevel="0" collapsed="false">
      <c r="A11" s="12" t="s">
        <v>1014</v>
      </c>
      <c r="B11" s="12" t="s">
        <v>1001</v>
      </c>
      <c r="C11" s="12" t="s">
        <v>1002</v>
      </c>
      <c r="D11" s="12" t="s">
        <v>108</v>
      </c>
      <c r="E11" s="12" t="s">
        <v>1015</v>
      </c>
    </row>
    <row r="12" customFormat="false" ht="15" hidden="false" customHeight="false" outlineLevel="0" collapsed="false">
      <c r="A12" s="12" t="s">
        <v>1016</v>
      </c>
      <c r="B12" s="12" t="s">
        <v>1001</v>
      </c>
      <c r="C12" s="12" t="s">
        <v>1002</v>
      </c>
      <c r="D12" s="12" t="s">
        <v>113</v>
      </c>
      <c r="E12" s="12"/>
    </row>
    <row r="13" customFormat="false" ht="15" hidden="false" customHeight="false" outlineLevel="0" collapsed="false">
      <c r="A13" s="12" t="s">
        <v>1017</v>
      </c>
      <c r="B13" s="12" t="s">
        <v>1001</v>
      </c>
      <c r="C13" s="12" t="s">
        <v>1002</v>
      </c>
      <c r="D13" s="12" t="s">
        <v>129</v>
      </c>
      <c r="E13" s="12"/>
    </row>
    <row r="14" customFormat="false" ht="15" hidden="false" customHeight="false" outlineLevel="0" collapsed="false">
      <c r="A14" s="12" t="s">
        <v>1018</v>
      </c>
      <c r="B14" s="12" t="s">
        <v>1001</v>
      </c>
      <c r="C14" s="12" t="s">
        <v>1002</v>
      </c>
      <c r="D14" s="12" t="s">
        <v>133</v>
      </c>
      <c r="E14" s="12"/>
    </row>
    <row r="15" customFormat="false" ht="15" hidden="false" customHeight="false" outlineLevel="0" collapsed="false">
      <c r="A15" s="12" t="s">
        <v>1019</v>
      </c>
      <c r="B15" s="12" t="s">
        <v>1001</v>
      </c>
      <c r="C15" s="12" t="s">
        <v>1002</v>
      </c>
      <c r="D15" s="12" t="s">
        <v>137</v>
      </c>
      <c r="E15" s="12"/>
    </row>
    <row r="16" customFormat="false" ht="15" hidden="false" customHeight="false" outlineLevel="0" collapsed="false">
      <c r="A16" s="12" t="s">
        <v>1020</v>
      </c>
      <c r="B16" s="12" t="s">
        <v>1001</v>
      </c>
      <c r="C16" s="12" t="s">
        <v>1002</v>
      </c>
      <c r="D16" s="12" t="s">
        <v>141</v>
      </c>
      <c r="E16" s="12"/>
    </row>
    <row r="17" customFormat="false" ht="15" hidden="false" customHeight="false" outlineLevel="0" collapsed="false">
      <c r="A17" s="12" t="s">
        <v>1021</v>
      </c>
      <c r="B17" s="12" t="s">
        <v>1001</v>
      </c>
      <c r="C17" s="12" t="s">
        <v>1002</v>
      </c>
      <c r="D17" s="12" t="s">
        <v>145</v>
      </c>
      <c r="E17" s="12"/>
    </row>
    <row r="18" customFormat="false" ht="15" hidden="false" customHeight="false" outlineLevel="0" collapsed="false">
      <c r="A18" s="12" t="s">
        <v>1022</v>
      </c>
      <c r="B18" s="12" t="s">
        <v>1001</v>
      </c>
      <c r="C18" s="12" t="s">
        <v>1002</v>
      </c>
      <c r="D18" s="12" t="s">
        <v>149</v>
      </c>
      <c r="E18" s="12"/>
    </row>
    <row r="19" customFormat="false" ht="15" hidden="false" customHeight="false" outlineLevel="0" collapsed="false">
      <c r="A19" s="12" t="s">
        <v>1023</v>
      </c>
      <c r="B19" s="12" t="s">
        <v>1001</v>
      </c>
      <c r="C19" s="12" t="s">
        <v>1002</v>
      </c>
      <c r="D19" s="12" t="s">
        <v>153</v>
      </c>
      <c r="E19" s="12"/>
    </row>
    <row r="20" customFormat="false" ht="15" hidden="false" customHeight="false" outlineLevel="0" collapsed="false">
      <c r="A20" s="12" t="s">
        <v>1024</v>
      </c>
      <c r="B20" s="12" t="s">
        <v>1001</v>
      </c>
      <c r="C20" s="12" t="s">
        <v>1004</v>
      </c>
      <c r="D20" s="12" t="s">
        <v>263</v>
      </c>
      <c r="E20" s="12"/>
    </row>
    <row r="21" customFormat="false" ht="15" hidden="false" customHeight="false" outlineLevel="0" collapsed="false">
      <c r="A21" s="12" t="s">
        <v>1025</v>
      </c>
      <c r="B21" s="12" t="s">
        <v>1001</v>
      </c>
      <c r="C21" s="12" t="s">
        <v>1026</v>
      </c>
      <c r="D21" s="12" t="s">
        <v>1027</v>
      </c>
      <c r="E21" s="12"/>
    </row>
    <row r="22" customFormat="false" ht="15" hidden="false" customHeight="false" outlineLevel="0" collapsed="false">
      <c r="A22" s="12" t="s">
        <v>1028</v>
      </c>
      <c r="B22" s="12" t="s">
        <v>1001</v>
      </c>
      <c r="C22" s="12" t="s">
        <v>1029</v>
      </c>
      <c r="D22" s="12" t="s">
        <v>1030</v>
      </c>
      <c r="E22" s="12" t="s">
        <v>1031</v>
      </c>
    </row>
    <row r="23" customFormat="false" ht="15" hidden="false" customHeight="false" outlineLevel="0" collapsed="false">
      <c r="A23" s="12" t="s">
        <v>1032</v>
      </c>
      <c r="B23" s="12" t="s">
        <v>1001</v>
      </c>
      <c r="C23" s="12" t="s">
        <v>1029</v>
      </c>
      <c r="D23" s="12" t="s">
        <v>1033</v>
      </c>
      <c r="E23" s="12" t="s">
        <v>1031</v>
      </c>
    </row>
    <row r="24" customFormat="false" ht="15" hidden="false" customHeight="false" outlineLevel="0" collapsed="false">
      <c r="A24" s="12" t="s">
        <v>1034</v>
      </c>
      <c r="B24" s="12" t="s">
        <v>1001</v>
      </c>
      <c r="C24" s="12" t="s">
        <v>1029</v>
      </c>
      <c r="D24" s="12" t="s">
        <v>1035</v>
      </c>
      <c r="E24" s="12"/>
    </row>
    <row r="25" customFormat="false" ht="15" hidden="false" customHeight="false" outlineLevel="0" collapsed="false">
      <c r="A25" s="12" t="s">
        <v>1036</v>
      </c>
      <c r="B25" s="12" t="s">
        <v>1001</v>
      </c>
      <c r="C25" s="12" t="s">
        <v>1029</v>
      </c>
      <c r="D25" s="12" t="s">
        <v>1037</v>
      </c>
      <c r="E25" s="12"/>
    </row>
    <row r="26" customFormat="false" ht="15" hidden="false" customHeight="false" outlineLevel="0" collapsed="false">
      <c r="A26" s="12" t="s">
        <v>1038</v>
      </c>
      <c r="B26" s="12" t="s">
        <v>1001</v>
      </c>
      <c r="C26" s="12" t="s">
        <v>1029</v>
      </c>
      <c r="D26" s="12" t="s">
        <v>1039</v>
      </c>
      <c r="E26" s="12"/>
    </row>
    <row r="27" customFormat="false" ht="15" hidden="false" customHeight="false" outlineLevel="0" collapsed="false">
      <c r="A27" s="12" t="s">
        <v>1040</v>
      </c>
      <c r="B27" s="12" t="s">
        <v>1001</v>
      </c>
      <c r="C27" s="12" t="s">
        <v>1029</v>
      </c>
      <c r="D27" s="12" t="s">
        <v>1041</v>
      </c>
      <c r="E27" s="12"/>
    </row>
    <row r="28" customFormat="false" ht="15" hidden="false" customHeight="false" outlineLevel="0" collapsed="false">
      <c r="A28" s="12" t="s">
        <v>1042</v>
      </c>
      <c r="B28" s="12" t="s">
        <v>1001</v>
      </c>
      <c r="C28" s="12" t="s">
        <v>1029</v>
      </c>
      <c r="D28" s="12" t="s">
        <v>1043</v>
      </c>
      <c r="E28" s="12" t="s">
        <v>299</v>
      </c>
    </row>
    <row r="29" customFormat="false" ht="15" hidden="false" customHeight="false" outlineLevel="0" collapsed="false">
      <c r="A29" s="12" t="s">
        <v>1044</v>
      </c>
      <c r="B29" s="12" t="s">
        <v>1001</v>
      </c>
      <c r="C29" s="12" t="s">
        <v>1004</v>
      </c>
      <c r="D29" s="12" t="s">
        <v>278</v>
      </c>
      <c r="E29" s="12" t="s">
        <v>1045</v>
      </c>
    </row>
    <row r="30" customFormat="false" ht="15" hidden="false" customHeight="false" outlineLevel="0" collapsed="false">
      <c r="A30" s="12" t="s">
        <v>1046</v>
      </c>
      <c r="B30" s="12" t="s">
        <v>1001</v>
      </c>
      <c r="C30" s="12" t="s">
        <v>1004</v>
      </c>
      <c r="D30" s="12" t="s">
        <v>285</v>
      </c>
      <c r="E30" s="12"/>
    </row>
    <row r="31" customFormat="false" ht="15" hidden="false" customHeight="false" outlineLevel="0" collapsed="false">
      <c r="A31" s="12" t="s">
        <v>1047</v>
      </c>
      <c r="B31" s="12" t="s">
        <v>1001</v>
      </c>
      <c r="C31" s="12" t="s">
        <v>1004</v>
      </c>
      <c r="D31" s="12" t="s">
        <v>312</v>
      </c>
      <c r="E31" s="12"/>
    </row>
    <row r="32" customFormat="false" ht="15" hidden="false" customHeight="false" outlineLevel="0" collapsed="false">
      <c r="A32" s="12" t="s">
        <v>1048</v>
      </c>
      <c r="B32" s="12" t="s">
        <v>1001</v>
      </c>
      <c r="C32" s="12" t="s">
        <v>1004</v>
      </c>
      <c r="D32" s="12" t="s">
        <v>323</v>
      </c>
      <c r="E32" s="12"/>
    </row>
    <row r="33" customFormat="false" ht="15" hidden="false" customHeight="false" outlineLevel="0" collapsed="false">
      <c r="A33" s="12" t="s">
        <v>1049</v>
      </c>
      <c r="B33" s="12" t="s">
        <v>1001</v>
      </c>
      <c r="C33" s="12" t="s">
        <v>1004</v>
      </c>
      <c r="D33" s="12" t="s">
        <v>323</v>
      </c>
      <c r="E33" s="12" t="s">
        <v>1050</v>
      </c>
    </row>
    <row r="34" customFormat="false" ht="15" hidden="false" customHeight="false" outlineLevel="0" collapsed="false">
      <c r="A34" s="12" t="s">
        <v>1051</v>
      </c>
      <c r="B34" s="12" t="s">
        <v>1001</v>
      </c>
      <c r="C34" s="12" t="s">
        <v>1004</v>
      </c>
      <c r="D34" s="12" t="s">
        <v>344</v>
      </c>
      <c r="E34" s="12"/>
    </row>
    <row r="35" customFormat="false" ht="15" hidden="false" customHeight="false" outlineLevel="0" collapsed="false">
      <c r="A35" s="12" t="s">
        <v>1052</v>
      </c>
      <c r="B35" s="12" t="s">
        <v>1001</v>
      </c>
      <c r="C35" s="12" t="s">
        <v>1004</v>
      </c>
      <c r="D35" s="12" t="s">
        <v>356</v>
      </c>
      <c r="E35" s="12"/>
    </row>
    <row r="36" customFormat="false" ht="15" hidden="false" customHeight="false" outlineLevel="0" collapsed="false">
      <c r="A36" s="12" t="s">
        <v>1053</v>
      </c>
      <c r="B36" s="12" t="s">
        <v>1001</v>
      </c>
      <c r="C36" s="12" t="s">
        <v>1054</v>
      </c>
      <c r="D36" s="12" t="s">
        <v>826</v>
      </c>
      <c r="E36" s="12"/>
    </row>
    <row r="37" customFormat="false" ht="15" hidden="false" customHeight="false" outlineLevel="0" collapsed="false">
      <c r="A37" s="12" t="s">
        <v>1055</v>
      </c>
      <c r="B37" s="12" t="s">
        <v>1001</v>
      </c>
      <c r="C37" s="12" t="s">
        <v>1054</v>
      </c>
      <c r="D37" s="12" t="s">
        <v>841</v>
      </c>
      <c r="E37" s="12"/>
    </row>
    <row r="38" customFormat="false" ht="15" hidden="false" customHeight="false" outlineLevel="0" collapsed="false">
      <c r="A38" s="12" t="s">
        <v>1056</v>
      </c>
      <c r="B38" s="12" t="s">
        <v>1001</v>
      </c>
      <c r="C38" s="12" t="s">
        <v>1054</v>
      </c>
      <c r="D38" s="12" t="s">
        <v>844</v>
      </c>
      <c r="E38" s="12"/>
    </row>
    <row r="39" customFormat="false" ht="15" hidden="false" customHeight="false" outlineLevel="0" collapsed="false">
      <c r="A39" s="12" t="s">
        <v>1057</v>
      </c>
      <c r="B39" s="12" t="s">
        <v>1001</v>
      </c>
      <c r="C39" s="12" t="s">
        <v>1054</v>
      </c>
      <c r="D39" s="12" t="s">
        <v>844</v>
      </c>
      <c r="E39" s="12"/>
    </row>
    <row r="40" customFormat="false" ht="15" hidden="false" customHeight="false" outlineLevel="0" collapsed="false">
      <c r="A40" s="12" t="s">
        <v>1058</v>
      </c>
      <c r="B40" s="12" t="s">
        <v>1001</v>
      </c>
      <c r="C40" s="12" t="s">
        <v>1054</v>
      </c>
      <c r="D40" s="12" t="s">
        <v>829</v>
      </c>
      <c r="E40" s="12"/>
    </row>
    <row r="41" customFormat="false" ht="15" hidden="false" customHeight="false" outlineLevel="0" collapsed="false">
      <c r="A41" s="12" t="s">
        <v>1059</v>
      </c>
      <c r="B41" s="12" t="s">
        <v>1001</v>
      </c>
      <c r="C41" s="12" t="s">
        <v>1054</v>
      </c>
      <c r="D41" s="12" t="s">
        <v>838</v>
      </c>
      <c r="E41" s="12"/>
    </row>
    <row r="42" customFormat="false" ht="15" hidden="false" customHeight="false" outlineLevel="0" collapsed="false">
      <c r="A42" s="12" t="s">
        <v>1060</v>
      </c>
      <c r="B42" s="12" t="s">
        <v>1001</v>
      </c>
      <c r="C42" s="12" t="s">
        <v>1054</v>
      </c>
      <c r="D42" s="12" t="s">
        <v>832</v>
      </c>
      <c r="E42" s="12"/>
    </row>
    <row r="43" customFormat="false" ht="15" hidden="false" customHeight="false" outlineLevel="0" collapsed="false">
      <c r="A43" s="12" t="s">
        <v>1061</v>
      </c>
      <c r="B43" s="12" t="s">
        <v>1001</v>
      </c>
      <c r="C43" s="12" t="s">
        <v>1054</v>
      </c>
      <c r="D43" s="12" t="s">
        <v>847</v>
      </c>
      <c r="E43" s="12"/>
    </row>
    <row r="44" customFormat="false" ht="15" hidden="false" customHeight="false" outlineLevel="0" collapsed="false">
      <c r="A44" s="12" t="s">
        <v>1062</v>
      </c>
      <c r="B44" s="12" t="s">
        <v>1001</v>
      </c>
      <c r="C44" s="12" t="s">
        <v>1054</v>
      </c>
      <c r="D44" s="12" t="s">
        <v>808</v>
      </c>
      <c r="E44" s="12"/>
    </row>
    <row r="45" customFormat="false" ht="15" hidden="false" customHeight="false" outlineLevel="0" collapsed="false">
      <c r="A45" s="12" t="s">
        <v>1063</v>
      </c>
      <c r="B45" s="12" t="s">
        <v>1001</v>
      </c>
      <c r="C45" s="12" t="s">
        <v>1054</v>
      </c>
      <c r="D45" s="12" t="s">
        <v>808</v>
      </c>
      <c r="E45" s="12"/>
    </row>
    <row r="46" customFormat="false" ht="15" hidden="false" customHeight="false" outlineLevel="0" collapsed="false">
      <c r="A46" s="12" t="s">
        <v>1064</v>
      </c>
      <c r="B46" s="12" t="s">
        <v>1001</v>
      </c>
      <c r="C46" s="12" t="s">
        <v>1054</v>
      </c>
      <c r="D46" s="12" t="s">
        <v>802</v>
      </c>
      <c r="E46" s="12"/>
    </row>
    <row r="47" customFormat="false" ht="15" hidden="false" customHeight="false" outlineLevel="0" collapsed="false">
      <c r="A47" s="12" t="s">
        <v>1065</v>
      </c>
      <c r="B47" s="12" t="s">
        <v>1001</v>
      </c>
      <c r="C47" s="12" t="s">
        <v>1054</v>
      </c>
      <c r="D47" s="12" t="s">
        <v>799</v>
      </c>
      <c r="E47" s="12"/>
    </row>
    <row r="48" customFormat="false" ht="15" hidden="false" customHeight="false" outlineLevel="0" collapsed="false">
      <c r="A48" s="12" t="s">
        <v>1066</v>
      </c>
      <c r="B48" s="12" t="s">
        <v>1001</v>
      </c>
      <c r="C48" s="12" t="s">
        <v>1054</v>
      </c>
      <c r="D48" s="12" t="s">
        <v>805</v>
      </c>
      <c r="E48" s="12"/>
    </row>
    <row r="49" customFormat="false" ht="15" hidden="false" customHeight="false" outlineLevel="0" collapsed="false">
      <c r="A49" s="12" t="s">
        <v>1067</v>
      </c>
      <c r="B49" s="12" t="s">
        <v>1001</v>
      </c>
      <c r="C49" s="12" t="s">
        <v>1054</v>
      </c>
      <c r="D49" s="12" t="s">
        <v>817</v>
      </c>
      <c r="E49" s="12"/>
    </row>
    <row r="50" customFormat="false" ht="15" hidden="false" customHeight="false" outlineLevel="0" collapsed="false">
      <c r="A50" s="12" t="s">
        <v>1068</v>
      </c>
      <c r="B50" s="12" t="s">
        <v>1001</v>
      </c>
      <c r="C50" s="12" t="s">
        <v>1054</v>
      </c>
      <c r="D50" s="12" t="s">
        <v>823</v>
      </c>
      <c r="E50" s="12"/>
    </row>
    <row r="51" customFormat="false" ht="15" hidden="false" customHeight="false" outlineLevel="0" collapsed="false">
      <c r="A51" s="12" t="s">
        <v>1069</v>
      </c>
      <c r="B51" s="12" t="s">
        <v>1001</v>
      </c>
      <c r="C51" s="12" t="s">
        <v>1004</v>
      </c>
      <c r="D51" s="12" t="s">
        <v>380</v>
      </c>
      <c r="E51" s="12"/>
    </row>
    <row r="52" customFormat="false" ht="15" hidden="false" customHeight="false" outlineLevel="0" collapsed="false">
      <c r="A52" s="12" t="s">
        <v>1070</v>
      </c>
      <c r="B52" s="12" t="s">
        <v>1001</v>
      </c>
      <c r="C52" s="12" t="s">
        <v>1071</v>
      </c>
      <c r="D52" s="12" t="s">
        <v>876</v>
      </c>
      <c r="E52" s="12"/>
    </row>
    <row r="53" customFormat="false" ht="15" hidden="false" customHeight="false" outlineLevel="0" collapsed="false">
      <c r="A53" s="12" t="s">
        <v>1072</v>
      </c>
      <c r="B53" s="12" t="s">
        <v>1001</v>
      </c>
      <c r="C53" s="12" t="s">
        <v>1071</v>
      </c>
      <c r="D53" s="12" t="s">
        <v>876</v>
      </c>
      <c r="E53" s="12"/>
    </row>
    <row r="54" customFormat="false" ht="15" hidden="false" customHeight="false" outlineLevel="0" collapsed="false">
      <c r="A54" s="12" t="s">
        <v>1073</v>
      </c>
      <c r="B54" s="12" t="s">
        <v>1001</v>
      </c>
      <c r="C54" s="12" t="s">
        <v>1071</v>
      </c>
      <c r="D54" s="12" t="s">
        <v>882</v>
      </c>
      <c r="E54" s="12"/>
    </row>
    <row r="55" customFormat="false" ht="15" hidden="false" customHeight="false" outlineLevel="0" collapsed="false">
      <c r="A55" s="12" t="s">
        <v>1074</v>
      </c>
      <c r="B55" s="12" t="s">
        <v>1001</v>
      </c>
      <c r="C55" s="12" t="s">
        <v>1071</v>
      </c>
      <c r="D55" s="12" t="s">
        <v>897</v>
      </c>
      <c r="E55" s="12"/>
    </row>
    <row r="56" customFormat="false" ht="15" hidden="false" customHeight="false" outlineLevel="0" collapsed="false">
      <c r="A56" s="12" t="s">
        <v>1075</v>
      </c>
      <c r="B56" s="12" t="s">
        <v>1001</v>
      </c>
      <c r="C56" s="12" t="s">
        <v>1071</v>
      </c>
      <c r="D56" s="12" t="s">
        <v>900</v>
      </c>
      <c r="E56" s="12"/>
    </row>
    <row r="57" customFormat="false" ht="15" hidden="false" customHeight="false" outlineLevel="0" collapsed="false">
      <c r="A57" s="12" t="s">
        <v>1076</v>
      </c>
      <c r="B57" s="12" t="s">
        <v>1001</v>
      </c>
      <c r="C57" s="12" t="s">
        <v>1071</v>
      </c>
      <c r="D57" s="12" t="s">
        <v>903</v>
      </c>
      <c r="E57" s="12"/>
    </row>
    <row r="58" customFormat="false" ht="15" hidden="false" customHeight="false" outlineLevel="0" collapsed="false">
      <c r="A58" s="12" t="s">
        <v>1077</v>
      </c>
      <c r="B58" s="12" t="s">
        <v>1001</v>
      </c>
      <c r="C58" s="12" t="s">
        <v>1004</v>
      </c>
      <c r="D58" s="12" t="s">
        <v>394</v>
      </c>
      <c r="E58" s="12"/>
    </row>
    <row r="59" customFormat="false" ht="15" hidden="false" customHeight="false" outlineLevel="0" collapsed="false">
      <c r="A59" s="12" t="s">
        <v>1078</v>
      </c>
      <c r="B59" s="12" t="s">
        <v>1001</v>
      </c>
      <c r="C59" s="12" t="s">
        <v>1054</v>
      </c>
      <c r="D59" s="12" t="s">
        <v>856</v>
      </c>
      <c r="E59" s="12"/>
    </row>
    <row r="60" customFormat="false" ht="15" hidden="false" customHeight="false" outlineLevel="0" collapsed="false">
      <c r="A60" s="12" t="s">
        <v>1079</v>
      </c>
      <c r="B60" s="12" t="s">
        <v>1001</v>
      </c>
      <c r="C60" s="12" t="s">
        <v>1004</v>
      </c>
      <c r="D60" s="12" t="s">
        <v>408</v>
      </c>
      <c r="E60" s="12" t="s">
        <v>1080</v>
      </c>
    </row>
    <row r="61" customFormat="false" ht="15" hidden="false" customHeight="false" outlineLevel="0" collapsed="false">
      <c r="A61" s="12" t="s">
        <v>1081</v>
      </c>
      <c r="B61" s="12" t="s">
        <v>1001</v>
      </c>
      <c r="C61" s="12" t="s">
        <v>1004</v>
      </c>
      <c r="D61" s="12" t="s">
        <v>408</v>
      </c>
      <c r="E61" s="12" t="s">
        <v>1082</v>
      </c>
    </row>
    <row r="62" customFormat="false" ht="15" hidden="false" customHeight="false" outlineLevel="0" collapsed="false">
      <c r="A62" s="12" t="s">
        <v>1083</v>
      </c>
      <c r="B62" s="12" t="s">
        <v>1001</v>
      </c>
      <c r="C62" s="12" t="s">
        <v>1004</v>
      </c>
      <c r="D62" s="12" t="s">
        <v>408</v>
      </c>
      <c r="E62" s="12" t="s">
        <v>1084</v>
      </c>
    </row>
    <row r="63" customFormat="false" ht="15" hidden="false" customHeight="false" outlineLevel="0" collapsed="false">
      <c r="A63" s="12" t="s">
        <v>1085</v>
      </c>
      <c r="B63" s="12" t="s">
        <v>1001</v>
      </c>
      <c r="C63" s="12" t="s">
        <v>1004</v>
      </c>
      <c r="D63" s="12" t="s">
        <v>412</v>
      </c>
      <c r="E63" s="12" t="s">
        <v>1086</v>
      </c>
    </row>
    <row r="64" customFormat="false" ht="15" hidden="false" customHeight="false" outlineLevel="0" collapsed="false">
      <c r="A64" s="12" t="s">
        <v>1087</v>
      </c>
      <c r="B64" s="12" t="s">
        <v>1001</v>
      </c>
      <c r="C64" s="12" t="s">
        <v>1004</v>
      </c>
      <c r="D64" s="12" t="s">
        <v>412</v>
      </c>
      <c r="E64" s="12"/>
    </row>
    <row r="65" customFormat="false" ht="15" hidden="false" customHeight="false" outlineLevel="0" collapsed="false">
      <c r="A65" s="12" t="s">
        <v>1088</v>
      </c>
      <c r="B65" s="12" t="s">
        <v>1001</v>
      </c>
      <c r="C65" s="12" t="s">
        <v>1004</v>
      </c>
      <c r="D65" s="12" t="s">
        <v>417</v>
      </c>
      <c r="E65" s="12"/>
    </row>
    <row r="66" customFormat="false" ht="15" hidden="false" customHeight="false" outlineLevel="0" collapsed="false">
      <c r="A66" s="12" t="s">
        <v>1089</v>
      </c>
      <c r="B66" s="12" t="s">
        <v>1001</v>
      </c>
      <c r="C66" s="12" t="s">
        <v>1004</v>
      </c>
      <c r="D66" s="12" t="s">
        <v>417</v>
      </c>
      <c r="E66" s="12" t="s">
        <v>1090</v>
      </c>
    </row>
    <row r="67" customFormat="false" ht="15" hidden="false" customHeight="false" outlineLevel="0" collapsed="false">
      <c r="A67" s="12" t="s">
        <v>1091</v>
      </c>
      <c r="B67" s="12" t="s">
        <v>1001</v>
      </c>
      <c r="C67" s="12" t="s">
        <v>1004</v>
      </c>
      <c r="D67" s="12" t="s">
        <v>421</v>
      </c>
      <c r="E67" s="12"/>
    </row>
    <row r="68" customFormat="false" ht="15" hidden="false" customHeight="false" outlineLevel="0" collapsed="false">
      <c r="A68" s="12" t="s">
        <v>1092</v>
      </c>
      <c r="B68" s="12" t="s">
        <v>1093</v>
      </c>
      <c r="C68" s="12" t="s">
        <v>1004</v>
      </c>
      <c r="D68" s="12" t="s">
        <v>421</v>
      </c>
      <c r="E68" s="12"/>
    </row>
    <row r="69" customFormat="false" ht="15" hidden="false" customHeight="false" outlineLevel="0" collapsed="false">
      <c r="A69" s="12" t="s">
        <v>1094</v>
      </c>
      <c r="B69" s="12" t="s">
        <v>1001</v>
      </c>
      <c r="C69" s="12" t="s">
        <v>1004</v>
      </c>
      <c r="D69" s="12" t="s">
        <v>425</v>
      </c>
      <c r="E69" s="12"/>
    </row>
    <row r="70" customFormat="false" ht="15" hidden="false" customHeight="false" outlineLevel="0" collapsed="false">
      <c r="A70" s="12" t="s">
        <v>1095</v>
      </c>
      <c r="B70" s="12" t="s">
        <v>1001</v>
      </c>
      <c r="C70" s="12" t="s">
        <v>1004</v>
      </c>
      <c r="D70" s="12" t="s">
        <v>429</v>
      </c>
      <c r="E70" s="12"/>
    </row>
    <row r="71" customFormat="false" ht="15" hidden="false" customHeight="false" outlineLevel="0" collapsed="false">
      <c r="A71" s="12" t="s">
        <v>1096</v>
      </c>
      <c r="B71" s="12" t="s">
        <v>1001</v>
      </c>
      <c r="C71" s="12" t="s">
        <v>1004</v>
      </c>
      <c r="D71" s="12" t="s">
        <v>438</v>
      </c>
      <c r="E71" s="12"/>
    </row>
    <row r="72" customFormat="false" ht="15" hidden="false" customHeight="false" outlineLevel="0" collapsed="false">
      <c r="A72" s="12" t="s">
        <v>1097</v>
      </c>
      <c r="B72" s="12" t="s">
        <v>1001</v>
      </c>
      <c r="C72" s="12" t="s">
        <v>1004</v>
      </c>
      <c r="D72" s="12" t="s">
        <v>466</v>
      </c>
      <c r="E72" s="12" t="s">
        <v>1098</v>
      </c>
    </row>
    <row r="73" customFormat="false" ht="15" hidden="false" customHeight="false" outlineLevel="0" collapsed="false">
      <c r="A73" s="12" t="s">
        <v>1099</v>
      </c>
      <c r="B73" s="12" t="s">
        <v>1001</v>
      </c>
      <c r="C73" s="12" t="s">
        <v>1004</v>
      </c>
      <c r="D73" s="12" t="s">
        <v>466</v>
      </c>
      <c r="E73" s="12"/>
    </row>
    <row r="74" customFormat="false" ht="15" hidden="false" customHeight="false" outlineLevel="0" collapsed="false">
      <c r="A74" s="12" t="s">
        <v>1100</v>
      </c>
      <c r="B74" s="12" t="s">
        <v>1093</v>
      </c>
      <c r="C74" s="12" t="s">
        <v>1054</v>
      </c>
      <c r="D74" s="12" t="s">
        <v>808</v>
      </c>
      <c r="E74" s="12"/>
    </row>
    <row r="75" customFormat="false" ht="15" hidden="false" customHeight="false" outlineLevel="0" collapsed="false">
      <c r="A75" s="12" t="s">
        <v>1101</v>
      </c>
      <c r="B75" s="12" t="s">
        <v>1093</v>
      </c>
      <c r="C75" s="12" t="s">
        <v>1004</v>
      </c>
      <c r="D75" s="12" t="s">
        <v>356</v>
      </c>
      <c r="E75" s="12"/>
    </row>
    <row r="76" customFormat="false" ht="15" hidden="false" customHeight="false" outlineLevel="0" collapsed="false">
      <c r="A76" s="12" t="s">
        <v>1102</v>
      </c>
      <c r="B76" s="12" t="s">
        <v>1093</v>
      </c>
      <c r="C76" s="12" t="s">
        <v>1004</v>
      </c>
      <c r="D76" s="12" t="s">
        <v>318</v>
      </c>
      <c r="E76" s="12"/>
    </row>
  </sheetData>
  <autoFilter ref="A1:E7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false"/>
  </sheetPr>
  <dimension ref="A1:F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47"/>
    <col collapsed="false" customWidth="true" hidden="false" outlineLevel="0" max="4" min="4" style="0" width="14"/>
    <col collapsed="false" customWidth="true" hidden="false" outlineLevel="0" max="5" min="5" style="0" width="10"/>
    <col collapsed="false" customWidth="true" hidden="false" outlineLevel="0" max="6" min="6" style="0" width="70"/>
  </cols>
  <sheetData>
    <row r="1" customFormat="false" ht="31.5" hidden="false" customHeight="true" outlineLevel="0" collapsed="false">
      <c r="A1" s="13" t="s">
        <v>576</v>
      </c>
      <c r="B1" s="13" t="s">
        <v>1103</v>
      </c>
      <c r="C1" s="13" t="s">
        <v>1104</v>
      </c>
      <c r="D1" s="13" t="s">
        <v>1105</v>
      </c>
      <c r="E1" s="13" t="s">
        <v>1106</v>
      </c>
      <c r="F1" s="13" t="s">
        <v>92</v>
      </c>
    </row>
    <row r="2" customFormat="false" ht="15" hidden="false" customHeight="false" outlineLevel="0" collapsed="false">
      <c r="A2" s="12" t="s">
        <v>1107</v>
      </c>
      <c r="B2" s="12" t="s">
        <v>1108</v>
      </c>
      <c r="C2" s="12" t="s">
        <v>1109</v>
      </c>
      <c r="D2" s="12" t="s">
        <v>1110</v>
      </c>
      <c r="E2" s="12" t="s">
        <v>1111</v>
      </c>
      <c r="F2" s="12" t="s">
        <v>1112</v>
      </c>
    </row>
    <row r="3" customFormat="false" ht="15" hidden="false" customHeight="false" outlineLevel="0" collapsed="false">
      <c r="A3" s="12" t="s">
        <v>1113</v>
      </c>
      <c r="B3" s="12" t="s">
        <v>1114</v>
      </c>
      <c r="C3" s="12" t="s">
        <v>1115</v>
      </c>
      <c r="D3" s="12" t="s">
        <v>1110</v>
      </c>
      <c r="E3" s="12" t="s">
        <v>1111</v>
      </c>
      <c r="F3" s="12" t="s">
        <v>1116</v>
      </c>
    </row>
    <row r="4" customFormat="false" ht="15" hidden="false" customHeight="false" outlineLevel="0" collapsed="false">
      <c r="A4" s="12" t="s">
        <v>1117</v>
      </c>
      <c r="B4" s="12" t="s">
        <v>1118</v>
      </c>
      <c r="C4" s="12" t="s">
        <v>1119</v>
      </c>
      <c r="D4" s="12" t="s">
        <v>1110</v>
      </c>
      <c r="E4" s="12" t="s">
        <v>1120</v>
      </c>
      <c r="F4" s="12" t="s">
        <v>1121</v>
      </c>
    </row>
    <row r="5" customFormat="false" ht="15" hidden="false" customHeight="false" outlineLevel="0" collapsed="false">
      <c r="A5" s="12" t="s">
        <v>1122</v>
      </c>
      <c r="B5" s="12" t="s">
        <v>1123</v>
      </c>
      <c r="C5" s="12" t="s">
        <v>1119</v>
      </c>
      <c r="D5" s="12" t="s">
        <v>1110</v>
      </c>
      <c r="E5" s="12" t="s">
        <v>1120</v>
      </c>
      <c r="F5" s="12" t="s">
        <v>1124</v>
      </c>
    </row>
    <row r="6" customFormat="false" ht="15" hidden="false" customHeight="false" outlineLevel="0" collapsed="false">
      <c r="A6" s="12" t="s">
        <v>1125</v>
      </c>
      <c r="B6" s="12" t="s">
        <v>1126</v>
      </c>
      <c r="C6" s="12" t="s">
        <v>1127</v>
      </c>
      <c r="D6" s="12" t="s">
        <v>1110</v>
      </c>
      <c r="E6" s="12" t="s">
        <v>1120</v>
      </c>
      <c r="F6" s="12" t="s">
        <v>1124</v>
      </c>
    </row>
    <row r="7" customFormat="false" ht="15" hidden="false" customHeight="false" outlineLevel="0" collapsed="false">
      <c r="A7" s="12" t="s">
        <v>1128</v>
      </c>
      <c r="B7" s="12" t="s">
        <v>1129</v>
      </c>
      <c r="C7" s="12" t="s">
        <v>1130</v>
      </c>
      <c r="D7" s="12" t="s">
        <v>1110</v>
      </c>
      <c r="E7" s="12" t="s">
        <v>1120</v>
      </c>
      <c r="F7" s="12" t="s">
        <v>1124</v>
      </c>
    </row>
    <row r="8" customFormat="false" ht="15" hidden="false" customHeight="false" outlineLevel="0" collapsed="false">
      <c r="A8" s="12" t="s">
        <v>1131</v>
      </c>
      <c r="B8" s="12" t="s">
        <v>1132</v>
      </c>
      <c r="C8" s="12" t="s">
        <v>1133</v>
      </c>
      <c r="D8" s="12" t="s">
        <v>1110</v>
      </c>
      <c r="E8" s="12" t="s">
        <v>1120</v>
      </c>
      <c r="F8" s="12" t="s">
        <v>1124</v>
      </c>
    </row>
    <row r="9" customFormat="false" ht="15" hidden="false" customHeight="false" outlineLevel="0" collapsed="false">
      <c r="A9" s="12" t="s">
        <v>1134</v>
      </c>
      <c r="B9" s="12" t="s">
        <v>1135</v>
      </c>
      <c r="C9" s="12" t="s">
        <v>1136</v>
      </c>
      <c r="D9" s="12" t="s">
        <v>1110</v>
      </c>
      <c r="E9" s="12" t="s">
        <v>1120</v>
      </c>
      <c r="F9" s="12" t="s">
        <v>1124</v>
      </c>
    </row>
    <row r="10" customFormat="false" ht="15" hidden="false" customHeight="false" outlineLevel="0" collapsed="false">
      <c r="A10" s="12" t="s">
        <v>1137</v>
      </c>
      <c r="B10" s="12" t="s">
        <v>1138</v>
      </c>
      <c r="C10" s="12" t="s">
        <v>1139</v>
      </c>
      <c r="D10" s="12" t="s">
        <v>1140</v>
      </c>
      <c r="E10" s="12" t="s">
        <v>1120</v>
      </c>
      <c r="F10" s="12" t="s">
        <v>1124</v>
      </c>
    </row>
    <row r="11" customFormat="false" ht="15" hidden="false" customHeight="false" outlineLevel="0" collapsed="false">
      <c r="A11" s="12" t="s">
        <v>1141</v>
      </c>
      <c r="B11" s="12" t="s">
        <v>1142</v>
      </c>
      <c r="C11" s="12" t="s">
        <v>1143</v>
      </c>
      <c r="D11" s="12" t="s">
        <v>1144</v>
      </c>
      <c r="E11" s="12" t="s">
        <v>1120</v>
      </c>
      <c r="F11" s="12" t="s">
        <v>1124</v>
      </c>
    </row>
    <row r="12" customFormat="false" ht="15" hidden="false" customHeight="false" outlineLevel="0" collapsed="false">
      <c r="A12" s="12" t="s">
        <v>1145</v>
      </c>
      <c r="B12" s="12" t="s">
        <v>1146</v>
      </c>
      <c r="C12" s="12" t="s">
        <v>1147</v>
      </c>
      <c r="D12" s="12" t="s">
        <v>1110</v>
      </c>
      <c r="E12" s="12" t="s">
        <v>1120</v>
      </c>
      <c r="F12" s="12" t="s">
        <v>1124</v>
      </c>
    </row>
    <row r="13" customFormat="false" ht="15" hidden="false" customHeight="false" outlineLevel="0" collapsed="false">
      <c r="A13" s="12" t="s">
        <v>1148</v>
      </c>
      <c r="B13" s="12" t="s">
        <v>1149</v>
      </c>
      <c r="C13" s="12" t="s">
        <v>1150</v>
      </c>
      <c r="D13" s="12" t="s">
        <v>1151</v>
      </c>
      <c r="E13" s="12" t="s">
        <v>1120</v>
      </c>
      <c r="F13" s="12" t="s">
        <v>1124</v>
      </c>
    </row>
    <row r="14" customFormat="false" ht="15" hidden="false" customHeight="false" outlineLevel="0" collapsed="false">
      <c r="A14" s="12" t="s">
        <v>1152</v>
      </c>
      <c r="B14" s="12" t="s">
        <v>1153</v>
      </c>
      <c r="C14" s="12" t="s">
        <v>1154</v>
      </c>
      <c r="D14" s="12" t="s">
        <v>1155</v>
      </c>
      <c r="E14" s="12" t="s">
        <v>1120</v>
      </c>
      <c r="F14" s="12" t="s">
        <v>1124</v>
      </c>
    </row>
    <row r="15" customFormat="false" ht="15" hidden="false" customHeight="false" outlineLevel="0" collapsed="false">
      <c r="A15" s="12" t="s">
        <v>1156</v>
      </c>
      <c r="B15" s="12" t="s">
        <v>1157</v>
      </c>
      <c r="C15" s="12" t="s">
        <v>1158</v>
      </c>
      <c r="D15" s="12" t="s">
        <v>1159</v>
      </c>
      <c r="E15" s="12" t="s">
        <v>1120</v>
      </c>
      <c r="F15" s="12" t="s">
        <v>1124</v>
      </c>
    </row>
    <row r="16" customFormat="false" ht="15" hidden="false" customHeight="false" outlineLevel="0" collapsed="false">
      <c r="A16" s="12" t="s">
        <v>1160</v>
      </c>
      <c r="B16" s="12" t="s">
        <v>1161</v>
      </c>
      <c r="C16" s="12" t="s">
        <v>1162</v>
      </c>
      <c r="D16" s="12" t="s">
        <v>1110</v>
      </c>
      <c r="E16" s="12" t="s">
        <v>1111</v>
      </c>
      <c r="F16" s="12" t="s">
        <v>1163</v>
      </c>
    </row>
    <row r="17" customFormat="false" ht="15" hidden="false" customHeight="false" outlineLevel="0" collapsed="false">
      <c r="A17" s="12" t="s">
        <v>1164</v>
      </c>
      <c r="B17" s="12" t="s">
        <v>1165</v>
      </c>
      <c r="C17" s="12" t="s">
        <v>1162</v>
      </c>
      <c r="D17" s="12" t="s">
        <v>1110</v>
      </c>
      <c r="E17" s="12" t="s">
        <v>1111</v>
      </c>
      <c r="F17" s="12" t="s">
        <v>1163</v>
      </c>
    </row>
    <row r="18" customFormat="false" ht="15" hidden="false" customHeight="false" outlineLevel="0" collapsed="false">
      <c r="A18" s="12" t="s">
        <v>1166</v>
      </c>
      <c r="B18" s="12" t="s">
        <v>1167</v>
      </c>
      <c r="C18" s="12" t="s">
        <v>1162</v>
      </c>
      <c r="D18" s="12" t="s">
        <v>1110</v>
      </c>
      <c r="E18" s="12" t="s">
        <v>1111</v>
      </c>
      <c r="F18" s="12" t="s">
        <v>1163</v>
      </c>
    </row>
    <row r="19" customFormat="false" ht="15" hidden="false" customHeight="false" outlineLevel="0" collapsed="false">
      <c r="A19" s="12" t="s">
        <v>1168</v>
      </c>
      <c r="B19" s="12" t="s">
        <v>1169</v>
      </c>
      <c r="C19" s="12" t="s">
        <v>1162</v>
      </c>
      <c r="D19" s="12" t="s">
        <v>1110</v>
      </c>
      <c r="E19" s="12" t="s">
        <v>1111</v>
      </c>
      <c r="F19" s="12" t="s">
        <v>1163</v>
      </c>
    </row>
    <row r="20" customFormat="false" ht="15" hidden="false" customHeight="false" outlineLevel="0" collapsed="false">
      <c r="A20" s="12" t="s">
        <v>1170</v>
      </c>
      <c r="B20" s="12" t="s">
        <v>1171</v>
      </c>
      <c r="C20" s="12" t="s">
        <v>1162</v>
      </c>
      <c r="D20" s="12" t="s">
        <v>1110</v>
      </c>
      <c r="E20" s="12" t="s">
        <v>1111</v>
      </c>
      <c r="F20" s="12" t="s">
        <v>1163</v>
      </c>
    </row>
    <row r="21" customFormat="false" ht="15" hidden="false" customHeight="false" outlineLevel="0" collapsed="false">
      <c r="A21" s="12" t="s">
        <v>1172</v>
      </c>
      <c r="B21" s="12" t="s">
        <v>1173</v>
      </c>
      <c r="C21" s="12" t="s">
        <v>1162</v>
      </c>
      <c r="D21" s="12" t="s">
        <v>1110</v>
      </c>
      <c r="E21" s="12" t="s">
        <v>1111</v>
      </c>
      <c r="F21" s="12" t="s">
        <v>1163</v>
      </c>
    </row>
    <row r="22" customFormat="false" ht="15" hidden="false" customHeight="false" outlineLevel="0" collapsed="false">
      <c r="A22" s="12" t="s">
        <v>1174</v>
      </c>
      <c r="B22" s="12" t="s">
        <v>1175</v>
      </c>
      <c r="C22" s="12" t="s">
        <v>1162</v>
      </c>
      <c r="D22" s="12" t="s">
        <v>1110</v>
      </c>
      <c r="E22" s="12" t="s">
        <v>1111</v>
      </c>
      <c r="F22" s="12" t="s">
        <v>1163</v>
      </c>
    </row>
    <row r="23" customFormat="false" ht="15" hidden="false" customHeight="false" outlineLevel="0" collapsed="false">
      <c r="A23" s="12" t="s">
        <v>1176</v>
      </c>
      <c r="B23" s="12" t="s">
        <v>1177</v>
      </c>
      <c r="C23" s="12" t="s">
        <v>1162</v>
      </c>
      <c r="D23" s="12" t="s">
        <v>1110</v>
      </c>
      <c r="E23" s="12" t="s">
        <v>1111</v>
      </c>
      <c r="F23" s="12" t="s">
        <v>1163</v>
      </c>
    </row>
    <row r="24" customFormat="false" ht="15" hidden="false" customHeight="false" outlineLevel="0" collapsed="false">
      <c r="A24" s="12" t="s">
        <v>1178</v>
      </c>
      <c r="B24" s="12" t="s">
        <v>1179</v>
      </c>
      <c r="C24" s="12" t="s">
        <v>1162</v>
      </c>
      <c r="D24" s="12" t="s">
        <v>1110</v>
      </c>
      <c r="E24" s="12" t="s">
        <v>1111</v>
      </c>
      <c r="F24" s="12" t="s">
        <v>1163</v>
      </c>
    </row>
    <row r="25" customFormat="false" ht="15" hidden="false" customHeight="false" outlineLevel="0" collapsed="false">
      <c r="A25" s="12" t="s">
        <v>1180</v>
      </c>
      <c r="B25" s="12" t="s">
        <v>1181</v>
      </c>
      <c r="C25" s="12" t="s">
        <v>1162</v>
      </c>
      <c r="D25" s="12" t="s">
        <v>1110</v>
      </c>
      <c r="E25" s="12" t="s">
        <v>1111</v>
      </c>
      <c r="F25" s="12" t="s">
        <v>1163</v>
      </c>
    </row>
  </sheetData>
  <autoFilter ref="A1:F2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false"/>
  </sheetPr>
  <dimension ref="A1:I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3"/>
    <col collapsed="false" customWidth="true" hidden="false" outlineLevel="0" max="3" min="3" style="0" width="30"/>
    <col collapsed="false" customWidth="true" hidden="false" outlineLevel="0" max="4" min="4" style="0" width="54"/>
    <col collapsed="false" customWidth="true" hidden="false" outlineLevel="0" max="5" min="5" style="0" width="26"/>
    <col collapsed="false" customWidth="true" hidden="false" outlineLevel="0" max="6" min="6" style="0" width="18"/>
    <col collapsed="false" customWidth="true" hidden="false" outlineLevel="0" max="7" min="7" style="0" width="13"/>
    <col collapsed="false" customWidth="true" hidden="false" outlineLevel="0" max="8" min="8" style="0" width="25"/>
    <col collapsed="false" customWidth="true" hidden="false" outlineLevel="0" max="9" min="9" style="0" width="80"/>
  </cols>
  <sheetData>
    <row r="1" customFormat="false" ht="31.5" hidden="false" customHeight="true" outlineLevel="0" collapsed="false">
      <c r="A1" s="13" t="s">
        <v>1182</v>
      </c>
      <c r="B1" s="13" t="s">
        <v>1183</v>
      </c>
      <c r="C1" s="13" t="s">
        <v>1184</v>
      </c>
      <c r="D1" s="13" t="s">
        <v>1185</v>
      </c>
      <c r="E1" s="13" t="s">
        <v>1186</v>
      </c>
      <c r="F1" s="13" t="s">
        <v>1187</v>
      </c>
      <c r="G1" s="13" t="s">
        <v>1188</v>
      </c>
      <c r="H1" s="13" t="s">
        <v>1189</v>
      </c>
      <c r="I1" s="13" t="s">
        <v>92</v>
      </c>
    </row>
    <row r="2" customFormat="false" ht="15" hidden="false" customHeight="false" outlineLevel="0" collapsed="false">
      <c r="A2" s="12" t="s">
        <v>1190</v>
      </c>
      <c r="B2" s="12" t="s">
        <v>1191</v>
      </c>
      <c r="C2" s="12" t="s">
        <v>1108</v>
      </c>
      <c r="D2" s="12" t="s">
        <v>1192</v>
      </c>
      <c r="E2" s="12" t="s">
        <v>1193</v>
      </c>
      <c r="F2" s="12" t="s">
        <v>1194</v>
      </c>
      <c r="G2" s="12" t="s">
        <v>1195</v>
      </c>
      <c r="H2" s="12" t="s">
        <v>1196</v>
      </c>
      <c r="I2" s="12" t="s">
        <v>1197</v>
      </c>
    </row>
    <row r="3" customFormat="false" ht="15" hidden="false" customHeight="false" outlineLevel="0" collapsed="false">
      <c r="A3" s="12" t="s">
        <v>1198</v>
      </c>
      <c r="B3" s="12" t="s">
        <v>1199</v>
      </c>
      <c r="C3" s="12" t="s">
        <v>1161</v>
      </c>
      <c r="D3" s="12" t="s">
        <v>1200</v>
      </c>
      <c r="E3" s="12"/>
      <c r="F3" s="12"/>
      <c r="G3" s="12"/>
      <c r="H3" s="12" t="s">
        <v>1201</v>
      </c>
      <c r="I3" s="12" t="s">
        <v>1202</v>
      </c>
    </row>
    <row r="4" customFormat="false" ht="15" hidden="false" customHeight="false" outlineLevel="0" collapsed="false">
      <c r="A4" s="12" t="s">
        <v>1203</v>
      </c>
      <c r="B4" s="12" t="s">
        <v>1199</v>
      </c>
      <c r="C4" s="12" t="s">
        <v>1165</v>
      </c>
      <c r="D4" s="12" t="s">
        <v>1204</v>
      </c>
      <c r="E4" s="12"/>
      <c r="F4" s="12"/>
      <c r="G4" s="12"/>
      <c r="H4" s="12" t="s">
        <v>1201</v>
      </c>
      <c r="I4" s="12" t="s">
        <v>1205</v>
      </c>
    </row>
    <row r="5" customFormat="false" ht="15" hidden="false" customHeight="false" outlineLevel="0" collapsed="false">
      <c r="A5" s="12" t="s">
        <v>1206</v>
      </c>
      <c r="B5" s="12" t="s">
        <v>1199</v>
      </c>
      <c r="C5" s="12" t="s">
        <v>1167</v>
      </c>
      <c r="D5" s="12" t="s">
        <v>1207</v>
      </c>
      <c r="E5" s="12"/>
      <c r="F5" s="12"/>
      <c r="G5" s="12"/>
      <c r="H5" s="12" t="s">
        <v>1201</v>
      </c>
      <c r="I5" s="12" t="s">
        <v>1208</v>
      </c>
    </row>
    <row r="6" customFormat="false" ht="15" hidden="false" customHeight="false" outlineLevel="0" collapsed="false">
      <c r="A6" s="12" t="s">
        <v>1209</v>
      </c>
      <c r="B6" s="12" t="s">
        <v>1199</v>
      </c>
      <c r="C6" s="12" t="s">
        <v>1169</v>
      </c>
      <c r="D6" s="12" t="s">
        <v>1210</v>
      </c>
      <c r="E6" s="12"/>
      <c r="F6" s="12"/>
      <c r="G6" s="12"/>
      <c r="H6" s="12" t="s">
        <v>1201</v>
      </c>
      <c r="I6" s="12" t="s">
        <v>1211</v>
      </c>
    </row>
    <row r="7" customFormat="false" ht="15" hidden="false" customHeight="false" outlineLevel="0" collapsed="false">
      <c r="A7" s="12" t="s">
        <v>1212</v>
      </c>
      <c r="B7" s="12" t="s">
        <v>1199</v>
      </c>
      <c r="C7" s="12" t="s">
        <v>1171</v>
      </c>
      <c r="D7" s="12" t="s">
        <v>1213</v>
      </c>
      <c r="E7" s="12"/>
      <c r="F7" s="12"/>
      <c r="G7" s="12"/>
      <c r="H7" s="12" t="s">
        <v>1201</v>
      </c>
      <c r="I7" s="12" t="s">
        <v>1214</v>
      </c>
    </row>
    <row r="8" customFormat="false" ht="15" hidden="false" customHeight="false" outlineLevel="0" collapsed="false">
      <c r="A8" s="12" t="s">
        <v>1215</v>
      </c>
      <c r="B8" s="12" t="s">
        <v>1199</v>
      </c>
      <c r="C8" s="12" t="s">
        <v>1173</v>
      </c>
      <c r="D8" s="12" t="s">
        <v>1216</v>
      </c>
      <c r="E8" s="12"/>
      <c r="F8" s="12"/>
      <c r="G8" s="12"/>
      <c r="H8" s="12" t="s">
        <v>1201</v>
      </c>
      <c r="I8" s="12" t="s">
        <v>1217</v>
      </c>
    </row>
    <row r="9" customFormat="false" ht="15" hidden="false" customHeight="false" outlineLevel="0" collapsed="false">
      <c r="A9" s="12" t="s">
        <v>1218</v>
      </c>
      <c r="B9" s="12" t="s">
        <v>1199</v>
      </c>
      <c r="C9" s="12" t="s">
        <v>1175</v>
      </c>
      <c r="D9" s="12" t="s">
        <v>1219</v>
      </c>
      <c r="E9" s="12"/>
      <c r="F9" s="12"/>
      <c r="G9" s="12"/>
      <c r="H9" s="12" t="s">
        <v>1201</v>
      </c>
      <c r="I9" s="12" t="s">
        <v>1220</v>
      </c>
    </row>
    <row r="10" customFormat="false" ht="15" hidden="false" customHeight="false" outlineLevel="0" collapsed="false">
      <c r="A10" s="12" t="s">
        <v>1221</v>
      </c>
      <c r="B10" s="12" t="s">
        <v>1199</v>
      </c>
      <c r="C10" s="12" t="s">
        <v>1177</v>
      </c>
      <c r="D10" s="12" t="s">
        <v>1222</v>
      </c>
      <c r="E10" s="12"/>
      <c r="F10" s="12"/>
      <c r="G10" s="12"/>
      <c r="H10" s="12" t="s">
        <v>1201</v>
      </c>
      <c r="I10" s="12" t="s">
        <v>1223</v>
      </c>
    </row>
    <row r="11" customFormat="false" ht="15" hidden="false" customHeight="false" outlineLevel="0" collapsed="false">
      <c r="A11" s="12" t="s">
        <v>1224</v>
      </c>
      <c r="B11" s="12" t="s">
        <v>1199</v>
      </c>
      <c r="C11" s="12" t="s">
        <v>1179</v>
      </c>
      <c r="D11" s="12" t="s">
        <v>1225</v>
      </c>
      <c r="E11" s="12"/>
      <c r="F11" s="12"/>
      <c r="G11" s="12"/>
      <c r="H11" s="12" t="s">
        <v>1201</v>
      </c>
      <c r="I11" s="12" t="s">
        <v>1226</v>
      </c>
    </row>
    <row r="12" customFormat="false" ht="15" hidden="false" customHeight="false" outlineLevel="0" collapsed="false">
      <c r="A12" s="12" t="s">
        <v>1227</v>
      </c>
      <c r="B12" s="12" t="s">
        <v>1199</v>
      </c>
      <c r="C12" s="12" t="s">
        <v>1181</v>
      </c>
      <c r="D12" s="12" t="s">
        <v>1228</v>
      </c>
      <c r="E12" s="12"/>
      <c r="F12" s="12"/>
      <c r="G12" s="12"/>
      <c r="H12" s="12" t="s">
        <v>1201</v>
      </c>
      <c r="I12" s="12" t="s">
        <v>1229</v>
      </c>
    </row>
    <row r="13" customFormat="false" ht="15" hidden="false" customHeight="false" outlineLevel="0" collapsed="false">
      <c r="A13" s="12" t="s">
        <v>1230</v>
      </c>
      <c r="B13" s="12" t="s">
        <v>1199</v>
      </c>
      <c r="C13" s="12" t="s">
        <v>1114</v>
      </c>
      <c r="D13" s="12" t="s">
        <v>1231</v>
      </c>
      <c r="E13" s="12"/>
      <c r="F13" s="12"/>
      <c r="G13" s="12"/>
      <c r="H13" s="12" t="s">
        <v>1201</v>
      </c>
      <c r="I13" s="12" t="s">
        <v>1232</v>
      </c>
    </row>
  </sheetData>
  <autoFilter ref="A1:I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5"/>
    <col collapsed="false" customWidth="true" hidden="false" outlineLevel="0" max="4" min="3" style="0" width="14"/>
    <col collapsed="false" customWidth="true" hidden="false" outlineLevel="0" max="5" min="5" style="0" width="28"/>
    <col collapsed="false" customWidth="true" hidden="false" outlineLevel="0" max="6" min="6" style="0" width="13"/>
  </cols>
  <sheetData>
    <row r="1" customFormat="false" ht="31.5" hidden="false" customHeight="true" outlineLevel="0" collapsed="false">
      <c r="A1" s="13" t="s">
        <v>1233</v>
      </c>
      <c r="B1" s="13" t="s">
        <v>1234</v>
      </c>
      <c r="C1" s="13" t="s">
        <v>1235</v>
      </c>
      <c r="D1" s="13" t="s">
        <v>1236</v>
      </c>
      <c r="E1" s="13" t="s">
        <v>1237</v>
      </c>
      <c r="F1" s="13" t="s">
        <v>1238</v>
      </c>
    </row>
    <row r="2" customFormat="false" ht="15" hidden="false" customHeight="false" outlineLevel="0" collapsed="false">
      <c r="A2" s="12" t="s">
        <v>1239</v>
      </c>
      <c r="B2" s="12" t="s">
        <v>1240</v>
      </c>
      <c r="C2" s="12" t="n">
        <v>-6.823</v>
      </c>
      <c r="D2" s="12" t="n">
        <v>39.27</v>
      </c>
      <c r="E2" s="12" t="s">
        <v>1241</v>
      </c>
      <c r="F2" s="12" t="n">
        <f aca="false">COUNTIF(Stores!$E:$E,A2)</f>
        <v>2</v>
      </c>
    </row>
    <row r="3" customFormat="false" ht="15" hidden="false" customHeight="false" outlineLevel="0" collapsed="false">
      <c r="A3" s="12" t="s">
        <v>1242</v>
      </c>
      <c r="B3" s="12" t="s">
        <v>1243</v>
      </c>
      <c r="C3" s="12" t="n">
        <v>-6.821</v>
      </c>
      <c r="D3" s="12" t="n">
        <v>37.661</v>
      </c>
      <c r="E3" s="12" t="s">
        <v>1244</v>
      </c>
      <c r="F3" s="12" t="n">
        <f aca="false">COUNTIF(Stores!$E:$E,A3)</f>
        <v>1</v>
      </c>
    </row>
    <row r="4" customFormat="false" ht="15" hidden="false" customHeight="false" outlineLevel="0" collapsed="false">
      <c r="A4" s="12" t="s">
        <v>1245</v>
      </c>
      <c r="B4" s="12" t="s">
        <v>1246</v>
      </c>
      <c r="C4" s="12" t="n">
        <v>-8.9</v>
      </c>
      <c r="D4" s="12" t="n">
        <v>33.45</v>
      </c>
      <c r="E4" s="12" t="s">
        <v>1247</v>
      </c>
      <c r="F4" s="12" t="n">
        <f aca="false">COUNTIF(Stores!$E:$E,A4)</f>
        <v>1</v>
      </c>
    </row>
    <row r="5" customFormat="false" ht="15" hidden="false" customHeight="false" outlineLevel="0" collapsed="false">
      <c r="A5" s="12" t="s">
        <v>1248</v>
      </c>
      <c r="B5" s="12" t="s">
        <v>1249</v>
      </c>
      <c r="C5" s="12" t="n">
        <v>-3.367</v>
      </c>
      <c r="D5" s="12" t="n">
        <v>36.683</v>
      </c>
      <c r="E5" s="12" t="s">
        <v>1250</v>
      </c>
      <c r="F5" s="12" t="n">
        <f aca="false">COUNTIF(Stores!$E:$E,A5)</f>
        <v>1</v>
      </c>
    </row>
    <row r="6" customFormat="false" ht="15" hidden="false" customHeight="false" outlineLevel="0" collapsed="false">
      <c r="A6" s="12" t="s">
        <v>1251</v>
      </c>
      <c r="B6" s="12" t="s">
        <v>1252</v>
      </c>
      <c r="C6" s="12" t="n">
        <v>-2.517</v>
      </c>
      <c r="D6" s="12" t="n">
        <v>32.9</v>
      </c>
      <c r="E6" s="12" t="s">
        <v>1253</v>
      </c>
      <c r="F6" s="12" t="n">
        <f aca="false">COUNTIF(Stores!$E:$E,A6)</f>
        <v>1</v>
      </c>
    </row>
  </sheetData>
  <autoFilter ref="A1:F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false"/>
  </sheetPr>
  <dimension ref="A1:A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11"/>
    <col collapsed="false" customWidth="true" hidden="false" outlineLevel="0" max="4" min="4" style="0" width="40"/>
    <col collapsed="false" customWidth="true" hidden="false" outlineLevel="0" max="5" min="5" style="0" width="11"/>
    <col collapsed="false" customWidth="true" hidden="false" outlineLevel="0" max="6" min="6" style="0" width="20"/>
    <col collapsed="false" customWidth="true" hidden="false" outlineLevel="0" max="7" min="7" style="0" width="26"/>
    <col collapsed="false" customWidth="true" hidden="false" outlineLevel="0" max="8" min="8" style="0" width="43"/>
    <col collapsed="false" customWidth="true" hidden="false" outlineLevel="0" max="9" min="9" style="0" width="37"/>
    <col collapsed="false" customWidth="true" hidden="false" outlineLevel="0" max="10" min="10" style="0" width="10"/>
    <col collapsed="false" customWidth="true" hidden="false" outlineLevel="0" max="11" min="11" style="0" width="11"/>
    <col collapsed="false" customWidth="true" hidden="false" outlineLevel="0" max="12" min="12" style="0" width="35"/>
    <col collapsed="false" customWidth="true" hidden="false" outlineLevel="0" max="13" min="13" style="0" width="10"/>
    <col collapsed="false" customWidth="true" hidden="false" outlineLevel="0" max="15" min="14" style="0" width="18"/>
    <col collapsed="false" customWidth="true" hidden="false" outlineLevel="0" max="16" min="16" style="0" width="32"/>
    <col collapsed="false" customWidth="true" hidden="false" outlineLevel="0" max="17" min="17" style="0" width="50"/>
    <col collapsed="false" customWidth="true" hidden="false" outlineLevel="0" max="18" min="18" style="0" width="25"/>
    <col collapsed="false" customWidth="true" hidden="false" outlineLevel="0" max="19" min="19" style="0" width="20"/>
    <col collapsed="false" customWidth="true" hidden="false" outlineLevel="0" max="20" min="20" style="0" width="23"/>
    <col collapsed="false" customWidth="true" hidden="false" outlineLevel="0" max="21" min="21" style="0" width="25"/>
    <col collapsed="false" customWidth="true" hidden="false" outlineLevel="0" max="22" min="22" style="0" width="20"/>
    <col collapsed="false" customWidth="true" hidden="false" outlineLevel="0" max="23" min="23" style="0" width="18"/>
    <col collapsed="false" customWidth="true" hidden="false" outlineLevel="0" max="24" min="24" style="0" width="20"/>
    <col collapsed="false" customWidth="true" hidden="false" outlineLevel="0" max="26" min="25" style="0" width="70"/>
    <col collapsed="false" customWidth="true" hidden="false" outlineLevel="0" max="27" min="27" style="0" width="24"/>
  </cols>
  <sheetData>
    <row r="1" customFormat="false" ht="31.5" hidden="false" customHeight="true" outlineLevel="0" collapsed="false">
      <c r="A1" s="13" t="s">
        <v>1254</v>
      </c>
      <c r="B1" s="13" t="s">
        <v>1255</v>
      </c>
      <c r="C1" s="13" t="s">
        <v>1182</v>
      </c>
      <c r="D1" s="13" t="s">
        <v>1256</v>
      </c>
      <c r="E1" s="13" t="s">
        <v>1233</v>
      </c>
      <c r="F1" s="13" t="s">
        <v>1257</v>
      </c>
      <c r="G1" s="13" t="s">
        <v>1258</v>
      </c>
      <c r="H1" s="13" t="s">
        <v>1259</v>
      </c>
      <c r="I1" s="13" t="s">
        <v>1260</v>
      </c>
      <c r="J1" s="13" t="s">
        <v>1261</v>
      </c>
      <c r="K1" s="13" t="s">
        <v>1262</v>
      </c>
      <c r="L1" s="13" t="s">
        <v>1263</v>
      </c>
      <c r="M1" s="13" t="s">
        <v>1264</v>
      </c>
      <c r="N1" s="13" t="s">
        <v>1265</v>
      </c>
      <c r="O1" s="13" t="s">
        <v>1266</v>
      </c>
      <c r="P1" s="13" t="s">
        <v>1267</v>
      </c>
      <c r="Q1" s="13" t="s">
        <v>1268</v>
      </c>
      <c r="R1" s="13" t="s">
        <v>1269</v>
      </c>
      <c r="S1" s="13" t="s">
        <v>1270</v>
      </c>
      <c r="T1" s="13" t="s">
        <v>1271</v>
      </c>
      <c r="U1" s="13" t="s">
        <v>1272</v>
      </c>
      <c r="V1" s="13" t="s">
        <v>1273</v>
      </c>
      <c r="W1" s="13" t="s">
        <v>1274</v>
      </c>
      <c r="X1" s="13" t="s">
        <v>1275</v>
      </c>
      <c r="Y1" s="13" t="s">
        <v>1276</v>
      </c>
      <c r="Z1" s="13" t="s">
        <v>1277</v>
      </c>
      <c r="AA1" s="13" t="s">
        <v>1278</v>
      </c>
    </row>
    <row r="2" customFormat="false" ht="15" hidden="false" customHeight="false" outlineLevel="0" collapsed="false">
      <c r="A2" s="12" t="s">
        <v>1195</v>
      </c>
      <c r="B2" s="12" t="s">
        <v>1279</v>
      </c>
      <c r="C2" s="12" t="s">
        <v>1190</v>
      </c>
      <c r="D2" s="12" t="s">
        <v>1280</v>
      </c>
      <c r="E2" s="12" t="s">
        <v>1239</v>
      </c>
      <c r="F2" s="12" t="s">
        <v>1281</v>
      </c>
      <c r="G2" s="12" t="s">
        <v>1282</v>
      </c>
      <c r="H2" s="12" t="s">
        <v>1283</v>
      </c>
      <c r="I2" s="12" t="s">
        <v>1284</v>
      </c>
      <c r="J2" s="14" t="n">
        <v>-6.6465</v>
      </c>
      <c r="K2" s="14" t="n">
        <v>39.2112</v>
      </c>
      <c r="L2" s="12" t="s">
        <v>1285</v>
      </c>
      <c r="M2" s="12" t="s">
        <v>1120</v>
      </c>
      <c r="N2" s="12" t="s">
        <v>1194</v>
      </c>
      <c r="O2" s="12" t="s">
        <v>1194</v>
      </c>
      <c r="P2" s="12" t="s">
        <v>1286</v>
      </c>
      <c r="Q2" s="12" t="s">
        <v>1287</v>
      </c>
      <c r="R2" s="12" t="s">
        <v>1288</v>
      </c>
      <c r="S2" s="12" t="n">
        <v>30</v>
      </c>
      <c r="T2" s="15" t="n">
        <v>5000</v>
      </c>
      <c r="U2" s="15" t="n">
        <v>500</v>
      </c>
      <c r="V2" s="12" t="s">
        <v>1120</v>
      </c>
      <c r="W2" s="12" t="s">
        <v>1120</v>
      </c>
      <c r="X2" s="12" t="s">
        <v>1120</v>
      </c>
      <c r="Y2" s="12" t="s">
        <v>1289</v>
      </c>
      <c r="Z2" s="12" t="s">
        <v>1290</v>
      </c>
      <c r="AA2" s="12" t="n">
        <f aca="false">ROUND(6371*ACOS(MIN(1,COS(RADIANS(90-J2))*COS(RADIANS(90-$J$2))+SIN(RADIANS(90-J2))*SIN(RADIANS(90-$J$2))*COS(RADIANS(K2-$K$2)))),1)</f>
        <v>0</v>
      </c>
    </row>
    <row r="3" customFormat="false" ht="15" hidden="false" customHeight="false" outlineLevel="0" collapsed="false">
      <c r="A3" s="12" t="s">
        <v>1291</v>
      </c>
      <c r="B3" s="12" t="s">
        <v>1292</v>
      </c>
      <c r="C3" s="12" t="s">
        <v>1190</v>
      </c>
      <c r="D3" s="12" t="s">
        <v>1293</v>
      </c>
      <c r="E3" s="12" t="s">
        <v>1239</v>
      </c>
      <c r="F3" s="12" t="s">
        <v>1294</v>
      </c>
      <c r="G3" s="12" t="s">
        <v>1295</v>
      </c>
      <c r="H3" s="12" t="s">
        <v>1296</v>
      </c>
      <c r="I3" s="12" t="s">
        <v>1297</v>
      </c>
      <c r="J3" s="14" t="n">
        <v>-6.8163</v>
      </c>
      <c r="K3" s="14" t="n">
        <v>39.2886</v>
      </c>
      <c r="L3" s="12" t="s">
        <v>1298</v>
      </c>
      <c r="M3" s="12" t="s">
        <v>1111</v>
      </c>
      <c r="N3" s="12" t="s">
        <v>1299</v>
      </c>
      <c r="O3" s="12" t="s">
        <v>1299</v>
      </c>
      <c r="P3" s="12" t="s">
        <v>1300</v>
      </c>
      <c r="Q3" s="12" t="s">
        <v>1301</v>
      </c>
      <c r="R3" s="12" t="s">
        <v>1302</v>
      </c>
      <c r="S3" s="12" t="n">
        <v>15</v>
      </c>
      <c r="T3" s="15" t="n">
        <v>4000</v>
      </c>
      <c r="U3" s="15" t="n">
        <v>600</v>
      </c>
      <c r="V3" s="12" t="s">
        <v>1120</v>
      </c>
      <c r="W3" s="12" t="s">
        <v>1120</v>
      </c>
      <c r="X3" s="12" t="s">
        <v>1111</v>
      </c>
      <c r="Y3" s="12" t="s">
        <v>1303</v>
      </c>
      <c r="Z3" s="12" t="s">
        <v>1304</v>
      </c>
      <c r="AA3" s="12" t="n">
        <f aca="false">ROUND(6371*ACOS(MIN(1,COS(RADIANS(90-J3))*COS(RADIANS(90-$J$2))+SIN(RADIANS(90-J3))*SIN(RADIANS(90-$J$2))*COS(RADIANS(K3-$K$2)))),1)</f>
        <v>20.7</v>
      </c>
    </row>
    <row r="4" customFormat="false" ht="15" hidden="false" customHeight="false" outlineLevel="0" collapsed="false">
      <c r="A4" s="12" t="s">
        <v>1305</v>
      </c>
      <c r="B4" s="12" t="s">
        <v>1306</v>
      </c>
      <c r="C4" s="12" t="s">
        <v>1190</v>
      </c>
      <c r="D4" s="12" t="s">
        <v>1307</v>
      </c>
      <c r="E4" s="12" t="s">
        <v>1242</v>
      </c>
      <c r="F4" s="12" t="s">
        <v>1308</v>
      </c>
      <c r="G4" s="12" t="s">
        <v>1309</v>
      </c>
      <c r="H4" s="12" t="s">
        <v>1310</v>
      </c>
      <c r="I4" s="12" t="s">
        <v>1311</v>
      </c>
      <c r="J4" s="14" t="n">
        <v>-6.8243</v>
      </c>
      <c r="K4" s="14" t="n">
        <v>37.6618</v>
      </c>
      <c r="L4" s="12" t="s">
        <v>1312</v>
      </c>
      <c r="M4" s="12" t="s">
        <v>1111</v>
      </c>
      <c r="N4" s="12" t="s">
        <v>1313</v>
      </c>
      <c r="O4" s="12" t="s">
        <v>1313</v>
      </c>
      <c r="P4" s="12" t="s">
        <v>1314</v>
      </c>
      <c r="Q4" s="12" t="s">
        <v>1315</v>
      </c>
      <c r="R4" s="12" t="s">
        <v>1316</v>
      </c>
      <c r="S4" s="12" t="n">
        <v>25</v>
      </c>
      <c r="T4" s="15" t="n">
        <v>4000</v>
      </c>
      <c r="U4" s="15" t="n">
        <v>500</v>
      </c>
      <c r="V4" s="12" t="s">
        <v>1120</v>
      </c>
      <c r="W4" s="12" t="s">
        <v>1120</v>
      </c>
      <c r="X4" s="12" t="s">
        <v>1120</v>
      </c>
      <c r="Y4" s="12" t="s">
        <v>1317</v>
      </c>
      <c r="Z4" s="12" t="s">
        <v>1318</v>
      </c>
      <c r="AA4" s="12" t="n">
        <f aca="false">ROUND(6371*ACOS(MIN(1,COS(RADIANS(90-J4))*COS(RADIANS(90-$J$2))+SIN(RADIANS(90-J4))*SIN(RADIANS(90-$J$2))*COS(RADIANS(K4-$K$2)))),1)</f>
        <v>172.2</v>
      </c>
    </row>
    <row r="5" customFormat="false" ht="15" hidden="false" customHeight="false" outlineLevel="0" collapsed="false">
      <c r="A5" s="12" t="s">
        <v>1319</v>
      </c>
      <c r="B5" s="12" t="s">
        <v>1320</v>
      </c>
      <c r="C5" s="12" t="s">
        <v>1190</v>
      </c>
      <c r="D5" s="12" t="s">
        <v>1321</v>
      </c>
      <c r="E5" s="12" t="s">
        <v>1245</v>
      </c>
      <c r="F5" s="12" t="s">
        <v>1322</v>
      </c>
      <c r="G5" s="12" t="s">
        <v>1323</v>
      </c>
      <c r="H5" s="12" t="s">
        <v>1324</v>
      </c>
      <c r="I5" s="12" t="s">
        <v>1325</v>
      </c>
      <c r="J5" s="14" t="n">
        <v>-8.9068</v>
      </c>
      <c r="K5" s="14" t="n">
        <v>33.4512</v>
      </c>
      <c r="L5" s="12" t="s">
        <v>1312</v>
      </c>
      <c r="M5" s="12" t="s">
        <v>1111</v>
      </c>
      <c r="N5" s="12" t="s">
        <v>1326</v>
      </c>
      <c r="O5" s="12" t="s">
        <v>1326</v>
      </c>
      <c r="P5" s="12" t="s">
        <v>1327</v>
      </c>
      <c r="Q5" s="12" t="s">
        <v>1328</v>
      </c>
      <c r="R5" s="12" t="s">
        <v>1329</v>
      </c>
      <c r="S5" s="12" t="n">
        <v>30</v>
      </c>
      <c r="T5" s="15" t="n">
        <v>5000</v>
      </c>
      <c r="U5" s="15" t="n">
        <v>600</v>
      </c>
      <c r="V5" s="12" t="s">
        <v>1120</v>
      </c>
      <c r="W5" s="12" t="s">
        <v>1120</v>
      </c>
      <c r="X5" s="12" t="s">
        <v>1120</v>
      </c>
      <c r="Y5" s="12" t="s">
        <v>1330</v>
      </c>
      <c r="Z5" s="12" t="s">
        <v>1331</v>
      </c>
      <c r="AA5" s="12" t="n">
        <f aca="false">ROUND(6371*ACOS(MIN(1,COS(RADIANS(90-J5))*COS(RADIANS(90-$J$2))+SIN(RADIANS(90-J5))*SIN(RADIANS(90-$J$2))*COS(RADIANS(K5-$K$2)))),1)</f>
        <v>682.5</v>
      </c>
    </row>
    <row r="6" customFormat="false" ht="15" hidden="false" customHeight="false" outlineLevel="0" collapsed="false">
      <c r="A6" s="12" t="s">
        <v>1332</v>
      </c>
      <c r="B6" s="12" t="s">
        <v>1333</v>
      </c>
      <c r="C6" s="12" t="s">
        <v>1190</v>
      </c>
      <c r="D6" s="12" t="s">
        <v>1334</v>
      </c>
      <c r="E6" s="12" t="s">
        <v>1248</v>
      </c>
      <c r="F6" s="12" t="s">
        <v>1335</v>
      </c>
      <c r="G6" s="12" t="s">
        <v>1336</v>
      </c>
      <c r="H6" s="12" t="s">
        <v>1337</v>
      </c>
      <c r="I6" s="12" t="s">
        <v>1338</v>
      </c>
      <c r="J6" s="14" t="n">
        <v>-3.3745</v>
      </c>
      <c r="K6" s="14" t="n">
        <v>36.6862</v>
      </c>
      <c r="L6" s="12" t="s">
        <v>1312</v>
      </c>
      <c r="M6" s="12" t="s">
        <v>1111</v>
      </c>
      <c r="N6" s="12" t="s">
        <v>1339</v>
      </c>
      <c r="O6" s="12" t="s">
        <v>1339</v>
      </c>
      <c r="P6" s="12" t="s">
        <v>1340</v>
      </c>
      <c r="Q6" s="12" t="s">
        <v>1341</v>
      </c>
      <c r="R6" s="12" t="s">
        <v>1342</v>
      </c>
      <c r="S6" s="12" t="n">
        <v>30</v>
      </c>
      <c r="T6" s="15" t="n">
        <v>5000</v>
      </c>
      <c r="U6" s="15" t="n">
        <v>600</v>
      </c>
      <c r="V6" s="12" t="s">
        <v>1120</v>
      </c>
      <c r="W6" s="12" t="s">
        <v>1120</v>
      </c>
      <c r="X6" s="12" t="s">
        <v>1120</v>
      </c>
      <c r="Y6" s="12" t="s">
        <v>1343</v>
      </c>
      <c r="Z6" s="12" t="s">
        <v>1344</v>
      </c>
      <c r="AA6" s="12" t="n">
        <f aca="false">ROUND(6371*ACOS(MIN(1,COS(RADIANS(90-J6))*COS(RADIANS(90-$J$2))+SIN(RADIANS(90-J6))*SIN(RADIANS(90-$J$2))*COS(RADIANS(K6-$K$2)))),1)</f>
        <v>458.9</v>
      </c>
    </row>
    <row r="7" customFormat="false" ht="15" hidden="false" customHeight="false" outlineLevel="0" collapsed="false">
      <c r="A7" s="12" t="s">
        <v>1345</v>
      </c>
      <c r="B7" s="12" t="s">
        <v>1346</v>
      </c>
      <c r="C7" s="12" t="s">
        <v>1190</v>
      </c>
      <c r="D7" s="12" t="s">
        <v>1347</v>
      </c>
      <c r="E7" s="12" t="s">
        <v>1251</v>
      </c>
      <c r="F7" s="12" t="s">
        <v>1348</v>
      </c>
      <c r="G7" s="12" t="s">
        <v>1349</v>
      </c>
      <c r="H7" s="12" t="s">
        <v>1350</v>
      </c>
      <c r="I7" s="12" t="s">
        <v>1351</v>
      </c>
      <c r="J7" s="14" t="n">
        <v>-2.5085</v>
      </c>
      <c r="K7" s="14" t="n">
        <v>32.9105</v>
      </c>
      <c r="L7" s="12" t="s">
        <v>1312</v>
      </c>
      <c r="M7" s="12" t="s">
        <v>1111</v>
      </c>
      <c r="N7" s="12" t="s">
        <v>1352</v>
      </c>
      <c r="O7" s="12" t="s">
        <v>1352</v>
      </c>
      <c r="P7" s="12" t="s">
        <v>1353</v>
      </c>
      <c r="Q7" s="12" t="s">
        <v>1315</v>
      </c>
      <c r="R7" s="12" t="s">
        <v>1354</v>
      </c>
      <c r="S7" s="12" t="n">
        <v>30</v>
      </c>
      <c r="T7" s="15" t="n">
        <v>5000</v>
      </c>
      <c r="U7" s="15" t="n">
        <v>600</v>
      </c>
      <c r="V7" s="12" t="s">
        <v>1120</v>
      </c>
      <c r="W7" s="12" t="s">
        <v>1120</v>
      </c>
      <c r="X7" s="12" t="s">
        <v>1111</v>
      </c>
      <c r="Y7" s="12" t="s">
        <v>1355</v>
      </c>
      <c r="Z7" s="12" t="s">
        <v>1356</v>
      </c>
      <c r="AA7" s="12" t="n">
        <f aca="false">ROUND(6371*ACOS(MIN(1,COS(RADIANS(90-J7))*COS(RADIANS(90-$J$2))+SIN(RADIANS(90-J7))*SIN(RADIANS(90-$J$2))*COS(RADIANS(K7-$K$2)))),1)</f>
        <v>836.2</v>
      </c>
    </row>
  </sheetData>
  <autoFilter ref="A1:AA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false"/>
  </sheetPr>
  <dimension ref="A1:AH1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6"/>
    <col collapsed="false" customWidth="true" hidden="false" outlineLevel="0" max="3" min="3" style="0" width="10"/>
    <col collapsed="false" customWidth="true" hidden="false" outlineLevel="0" max="4" min="4" style="0" width="30"/>
    <col collapsed="false" customWidth="true" hidden="false" outlineLevel="0" max="5" min="5" style="0" width="13"/>
    <col collapsed="false" customWidth="true" hidden="false" outlineLevel="0" max="6" min="6" style="0" width="17"/>
    <col collapsed="false" customWidth="true" hidden="false" outlineLevel="0" max="7" min="7" style="0" width="13"/>
    <col collapsed="false" customWidth="true" hidden="false" outlineLevel="0" max="8" min="8" style="0" width="38"/>
    <col collapsed="false" customWidth="true" hidden="false" outlineLevel="0" max="9" min="9" style="0" width="29"/>
    <col collapsed="false" customWidth="true" hidden="false" outlineLevel="0" max="10" min="10" style="0" width="34"/>
    <col collapsed="false" customWidth="true" hidden="false" outlineLevel="0" max="11" min="11" style="0" width="35"/>
    <col collapsed="false" customWidth="true" hidden="false" outlineLevel="0" max="12" min="12" style="0" width="19"/>
    <col collapsed="false" customWidth="true" hidden="false" outlineLevel="0" max="13" min="13" style="0" width="31"/>
    <col collapsed="false" customWidth="true" hidden="false" outlineLevel="0" max="14" min="14" style="0" width="54"/>
    <col collapsed="false" customWidth="true" hidden="false" outlineLevel="0" max="15" min="15" style="0" width="16"/>
    <col collapsed="false" customWidth="true" hidden="false" outlineLevel="0" max="16" min="16" style="0" width="45"/>
    <col collapsed="false" customWidth="true" hidden="false" outlineLevel="0" max="17" min="17" style="0" width="19"/>
    <col collapsed="false" customWidth="true" hidden="false" outlineLevel="0" max="18" min="18" style="0" width="47"/>
    <col collapsed="false" customWidth="true" hidden="false" outlineLevel="0" max="21" min="19" style="0" width="22"/>
    <col collapsed="false" customWidth="true" hidden="false" outlineLevel="0" max="22" min="22" style="0" width="27"/>
    <col collapsed="false" customWidth="true" hidden="false" outlineLevel="0" max="23" min="23" style="0" width="23"/>
    <col collapsed="false" customWidth="true" hidden="false" outlineLevel="0" max="24" min="24" style="0" width="21"/>
    <col collapsed="false" customWidth="true" hidden="false" outlineLevel="0" max="25" min="25" style="0" width="51"/>
    <col collapsed="false" customWidth="true" hidden="false" outlineLevel="0" max="26" min="26" style="0" width="17"/>
    <col collapsed="false" customWidth="true" hidden="false" outlineLevel="0" max="27" min="27" style="0" width="22"/>
    <col collapsed="false" customWidth="true" hidden="false" outlineLevel="0" max="28" min="28" style="0" width="16"/>
    <col collapsed="false" customWidth="true" hidden="false" outlineLevel="0" max="29" min="29" style="0" width="35"/>
    <col collapsed="false" customWidth="true" hidden="false" outlineLevel="0" max="30" min="30" style="0" width="31"/>
    <col collapsed="false" customWidth="true" hidden="false" outlineLevel="0" max="31" min="31" style="0" width="45"/>
    <col collapsed="false" customWidth="true" hidden="false" outlineLevel="0" max="32" min="32" style="0" width="70"/>
    <col collapsed="false" customWidth="true" hidden="false" outlineLevel="0" max="33" min="33" style="0" width="15"/>
    <col collapsed="false" customWidth="true" hidden="false" outlineLevel="0" max="34" min="34" style="0" width="14"/>
  </cols>
  <sheetData>
    <row r="1" customFormat="false" ht="31.5" hidden="false" customHeight="true" outlineLevel="0" collapsed="false">
      <c r="A1" s="13" t="s">
        <v>1357</v>
      </c>
      <c r="B1" s="13" t="s">
        <v>1358</v>
      </c>
      <c r="C1" s="13" t="s">
        <v>576</v>
      </c>
      <c r="D1" s="13" t="s">
        <v>1359</v>
      </c>
      <c r="E1" s="13" t="s">
        <v>581</v>
      </c>
      <c r="F1" s="13" t="s">
        <v>1360</v>
      </c>
      <c r="G1" s="13" t="s">
        <v>257</v>
      </c>
      <c r="H1" s="13" t="s">
        <v>1361</v>
      </c>
      <c r="I1" s="13" t="s">
        <v>478</v>
      </c>
      <c r="J1" s="13" t="s">
        <v>486</v>
      </c>
      <c r="K1" s="13" t="s">
        <v>491</v>
      </c>
      <c r="L1" s="13" t="s">
        <v>496</v>
      </c>
      <c r="M1" s="13" t="s">
        <v>500</v>
      </c>
      <c r="N1" s="13" t="s">
        <v>504</v>
      </c>
      <c r="O1" s="13" t="s">
        <v>509</v>
      </c>
      <c r="P1" s="13" t="s">
        <v>513</v>
      </c>
      <c r="Q1" s="13" t="s">
        <v>298</v>
      </c>
      <c r="R1" s="13" t="s">
        <v>291</v>
      </c>
      <c r="S1" s="13" t="s">
        <v>528</v>
      </c>
      <c r="T1" s="13" t="s">
        <v>534</v>
      </c>
      <c r="U1" s="13" t="s">
        <v>538</v>
      </c>
      <c r="V1" s="13" t="s">
        <v>542</v>
      </c>
      <c r="W1" s="13" t="s">
        <v>546</v>
      </c>
      <c r="X1" s="13" t="s">
        <v>470</v>
      </c>
      <c r="Y1" s="13" t="s">
        <v>561</v>
      </c>
      <c r="Z1" s="13" t="s">
        <v>552</v>
      </c>
      <c r="AA1" s="13" t="s">
        <v>565</v>
      </c>
      <c r="AB1" s="13" t="s">
        <v>569</v>
      </c>
      <c r="AC1" s="13" t="s">
        <v>573</v>
      </c>
      <c r="AD1" s="13" t="s">
        <v>1362</v>
      </c>
      <c r="AE1" s="13" t="s">
        <v>586</v>
      </c>
      <c r="AF1" s="13" t="s">
        <v>1363</v>
      </c>
      <c r="AG1" s="13" t="s">
        <v>1364</v>
      </c>
      <c r="AH1" s="13" t="s">
        <v>1365</v>
      </c>
    </row>
    <row r="2" customFormat="false" ht="15" hidden="false" customHeight="false" outlineLevel="0" collapsed="false">
      <c r="A2" s="12" t="s">
        <v>1366</v>
      </c>
      <c r="B2" s="12" t="s">
        <v>1367</v>
      </c>
      <c r="C2" s="12" t="s">
        <v>1113</v>
      </c>
      <c r="D2" s="12" t="s">
        <v>1114</v>
      </c>
      <c r="E2" s="12" t="s">
        <v>1113</v>
      </c>
      <c r="F2" s="12" t="s">
        <v>263</v>
      </c>
      <c r="G2" s="12" t="s">
        <v>270</v>
      </c>
      <c r="H2" s="12" t="s">
        <v>1368</v>
      </c>
      <c r="I2" s="12" t="s">
        <v>99</v>
      </c>
      <c r="J2" s="12" t="s">
        <v>166</v>
      </c>
      <c r="K2" s="12" t="s">
        <v>676</v>
      </c>
      <c r="L2" s="12" t="s">
        <v>707</v>
      </c>
      <c r="M2" s="12" t="s">
        <v>793</v>
      </c>
      <c r="N2" s="12" t="s">
        <v>1369</v>
      </c>
      <c r="O2" s="12"/>
      <c r="P2" s="12"/>
      <c r="Q2" s="12" t="n">
        <v>22</v>
      </c>
      <c r="R2" s="12"/>
      <c r="S2" s="12"/>
      <c r="T2" s="12"/>
      <c r="U2" s="12"/>
      <c r="V2" s="12" t="s">
        <v>264</v>
      </c>
      <c r="W2" s="12" t="s">
        <v>1111</v>
      </c>
      <c r="X2" s="12" t="s">
        <v>1111</v>
      </c>
      <c r="Y2" s="12" t="s">
        <v>1370</v>
      </c>
      <c r="Z2" s="12" t="s">
        <v>1371</v>
      </c>
      <c r="AA2" s="12"/>
      <c r="AB2" s="12"/>
      <c r="AC2" s="12"/>
      <c r="AD2" s="12" t="s">
        <v>1110</v>
      </c>
      <c r="AE2" s="12" t="s">
        <v>1372</v>
      </c>
      <c r="AF2" s="12" t="s">
        <v>1373</v>
      </c>
      <c r="AG2" s="12" t="n">
        <f aca="false">COUNTIF(Variants!$B:$B,A2)</f>
        <v>2</v>
      </c>
      <c r="AH2" s="12" t="s">
        <v>1120</v>
      </c>
    </row>
    <row r="3" customFormat="false" ht="15" hidden="false" customHeight="false" outlineLevel="0" collapsed="false">
      <c r="A3" s="12" t="s">
        <v>1374</v>
      </c>
      <c r="B3" s="12" t="s">
        <v>1375</v>
      </c>
      <c r="C3" s="12" t="s">
        <v>1113</v>
      </c>
      <c r="D3" s="12" t="s">
        <v>1114</v>
      </c>
      <c r="E3" s="12" t="s">
        <v>1113</v>
      </c>
      <c r="F3" s="12" t="s">
        <v>263</v>
      </c>
      <c r="G3" s="12" t="s">
        <v>270</v>
      </c>
      <c r="H3" s="12" t="s">
        <v>1368</v>
      </c>
      <c r="I3" s="12" t="s">
        <v>99</v>
      </c>
      <c r="J3" s="12" t="s">
        <v>170</v>
      </c>
      <c r="K3" s="12" t="s">
        <v>676</v>
      </c>
      <c r="L3" s="12" t="s">
        <v>710</v>
      </c>
      <c r="M3" s="12" t="s">
        <v>793</v>
      </c>
      <c r="N3" s="12" t="s">
        <v>799</v>
      </c>
      <c r="O3" s="12"/>
      <c r="P3" s="12"/>
      <c r="Q3" s="12" t="n">
        <v>20</v>
      </c>
      <c r="R3" s="12"/>
      <c r="S3" s="12"/>
      <c r="T3" s="12"/>
      <c r="U3" s="12"/>
      <c r="V3" s="12" t="s">
        <v>264</v>
      </c>
      <c r="W3" s="12" t="s">
        <v>1111</v>
      </c>
      <c r="X3" s="12" t="s">
        <v>1111</v>
      </c>
      <c r="Y3" s="12" t="s">
        <v>1370</v>
      </c>
      <c r="Z3" s="12" t="s">
        <v>1376</v>
      </c>
      <c r="AA3" s="12"/>
      <c r="AB3" s="12"/>
      <c r="AC3" s="12"/>
      <c r="AD3" s="12" t="s">
        <v>1110</v>
      </c>
      <c r="AE3" s="12" t="s">
        <v>1377</v>
      </c>
      <c r="AF3" s="12" t="s">
        <v>1378</v>
      </c>
      <c r="AG3" s="12" t="n">
        <f aca="false">COUNTIF(Variants!$B:$B,A3)</f>
        <v>2</v>
      </c>
      <c r="AH3" s="12" t="s">
        <v>1120</v>
      </c>
    </row>
    <row r="4" customFormat="false" ht="15" hidden="false" customHeight="false" outlineLevel="0" collapsed="false">
      <c r="A4" s="12" t="s">
        <v>1379</v>
      </c>
      <c r="B4" s="12" t="s">
        <v>1380</v>
      </c>
      <c r="C4" s="12" t="s">
        <v>1113</v>
      </c>
      <c r="D4" s="12" t="s">
        <v>1114</v>
      </c>
      <c r="E4" s="12" t="s">
        <v>1113</v>
      </c>
      <c r="F4" s="12" t="s">
        <v>263</v>
      </c>
      <c r="G4" s="12" t="s">
        <v>270</v>
      </c>
      <c r="H4" s="12" t="s">
        <v>1368</v>
      </c>
      <c r="I4" s="12" t="s">
        <v>99</v>
      </c>
      <c r="J4" s="12" t="s">
        <v>175</v>
      </c>
      <c r="K4" s="12" t="s">
        <v>676</v>
      </c>
      <c r="L4" s="12" t="s">
        <v>710</v>
      </c>
      <c r="M4" s="12" t="s">
        <v>793</v>
      </c>
      <c r="N4" s="12" t="s">
        <v>799</v>
      </c>
      <c r="O4" s="12"/>
      <c r="P4" s="12"/>
      <c r="Q4" s="12" t="n">
        <v>19</v>
      </c>
      <c r="R4" s="12"/>
      <c r="S4" s="12"/>
      <c r="T4" s="12"/>
      <c r="U4" s="12"/>
      <c r="V4" s="12" t="s">
        <v>264</v>
      </c>
      <c r="W4" s="12" t="s">
        <v>1111</v>
      </c>
      <c r="X4" s="12" t="s">
        <v>1111</v>
      </c>
      <c r="Y4" s="12" t="s">
        <v>1370</v>
      </c>
      <c r="Z4" s="12" t="s">
        <v>1381</v>
      </c>
      <c r="AA4" s="12"/>
      <c r="AB4" s="12"/>
      <c r="AC4" s="12"/>
      <c r="AD4" s="12" t="s">
        <v>1110</v>
      </c>
      <c r="AE4" s="12" t="s">
        <v>1382</v>
      </c>
      <c r="AF4" s="12" t="s">
        <v>1383</v>
      </c>
      <c r="AG4" s="12" t="n">
        <f aca="false">COUNTIF(Variants!$B:$B,A4)</f>
        <v>2</v>
      </c>
      <c r="AH4" s="12" t="s">
        <v>1120</v>
      </c>
    </row>
    <row r="5" customFormat="false" ht="15" hidden="false" customHeight="false" outlineLevel="0" collapsed="false">
      <c r="A5" s="12" t="s">
        <v>1384</v>
      </c>
      <c r="B5" s="12" t="s">
        <v>1385</v>
      </c>
      <c r="C5" s="12" t="s">
        <v>1122</v>
      </c>
      <c r="D5" s="12" t="s">
        <v>1123</v>
      </c>
      <c r="E5" s="12" t="s">
        <v>1122</v>
      </c>
      <c r="F5" s="12" t="s">
        <v>263</v>
      </c>
      <c r="G5" s="12" t="s">
        <v>270</v>
      </c>
      <c r="H5" s="12" t="s">
        <v>1368</v>
      </c>
      <c r="I5" s="12" t="s">
        <v>1386</v>
      </c>
      <c r="J5" s="12" t="s">
        <v>166</v>
      </c>
      <c r="K5" s="12" t="s">
        <v>1387</v>
      </c>
      <c r="L5" s="12" t="s">
        <v>704</v>
      </c>
      <c r="M5" s="12" t="s">
        <v>793</v>
      </c>
      <c r="N5" s="12" t="s">
        <v>796</v>
      </c>
      <c r="O5" s="12"/>
      <c r="P5" s="12"/>
      <c r="Q5" s="12" t="n">
        <v>20</v>
      </c>
      <c r="R5" s="12"/>
      <c r="S5" s="12"/>
      <c r="T5" s="12"/>
      <c r="U5" s="12"/>
      <c r="V5" s="12" t="s">
        <v>264</v>
      </c>
      <c r="W5" s="12" t="s">
        <v>1111</v>
      </c>
      <c r="X5" s="12" t="s">
        <v>1111</v>
      </c>
      <c r="Y5" s="12" t="s">
        <v>1370</v>
      </c>
      <c r="Z5" s="12" t="s">
        <v>1388</v>
      </c>
      <c r="AA5" s="12"/>
      <c r="AB5" s="12"/>
      <c r="AC5" s="12"/>
      <c r="AD5" s="12" t="s">
        <v>1110</v>
      </c>
      <c r="AE5" s="12" t="s">
        <v>1389</v>
      </c>
      <c r="AF5" s="12" t="s">
        <v>1390</v>
      </c>
      <c r="AG5" s="12" t="n">
        <f aca="false">COUNTIF(Variants!$B:$B,A5)</f>
        <v>1</v>
      </c>
      <c r="AH5" s="12" t="s">
        <v>1120</v>
      </c>
    </row>
    <row r="6" customFormat="false" ht="15" hidden="false" customHeight="false" outlineLevel="0" collapsed="false">
      <c r="A6" s="12" t="s">
        <v>1391</v>
      </c>
      <c r="B6" s="12" t="s">
        <v>1392</v>
      </c>
      <c r="C6" s="12" t="s">
        <v>1117</v>
      </c>
      <c r="D6" s="12" t="s">
        <v>1118</v>
      </c>
      <c r="E6" s="12" t="s">
        <v>1117</v>
      </c>
      <c r="F6" s="12" t="s">
        <v>263</v>
      </c>
      <c r="G6" s="12" t="s">
        <v>270</v>
      </c>
      <c r="H6" s="12" t="s">
        <v>1368</v>
      </c>
      <c r="I6" s="12" t="s">
        <v>99</v>
      </c>
      <c r="J6" s="12" t="s">
        <v>170</v>
      </c>
      <c r="K6" s="12" t="s">
        <v>679</v>
      </c>
      <c r="L6" s="12" t="s">
        <v>704</v>
      </c>
      <c r="M6" s="12" t="s">
        <v>793</v>
      </c>
      <c r="N6" s="12" t="s">
        <v>796</v>
      </c>
      <c r="O6" s="12"/>
      <c r="P6" s="12"/>
      <c r="Q6" s="12" t="n">
        <v>16</v>
      </c>
      <c r="R6" s="12"/>
      <c r="S6" s="12"/>
      <c r="T6" s="12"/>
      <c r="U6" s="12"/>
      <c r="V6" s="12" t="s">
        <v>264</v>
      </c>
      <c r="W6" s="12" t="s">
        <v>1111</v>
      </c>
      <c r="X6" s="12" t="s">
        <v>1111</v>
      </c>
      <c r="Y6" s="12" t="s">
        <v>1370</v>
      </c>
      <c r="Z6" s="12" t="s">
        <v>1393</v>
      </c>
      <c r="AA6" s="12"/>
      <c r="AB6" s="12"/>
      <c r="AC6" s="12"/>
      <c r="AD6" s="12" t="s">
        <v>1110</v>
      </c>
      <c r="AE6" s="12" t="s">
        <v>1394</v>
      </c>
      <c r="AF6" s="12" t="s">
        <v>1395</v>
      </c>
      <c r="AG6" s="12" t="n">
        <f aca="false">COUNTIF(Variants!$B:$B,A6)</f>
        <v>2</v>
      </c>
      <c r="AH6" s="12" t="s">
        <v>1120</v>
      </c>
    </row>
    <row r="7" customFormat="false" ht="15" hidden="false" customHeight="false" outlineLevel="0" collapsed="false">
      <c r="A7" s="12" t="s">
        <v>1396</v>
      </c>
      <c r="B7" s="12" t="s">
        <v>1397</v>
      </c>
      <c r="C7" s="12" t="s">
        <v>1113</v>
      </c>
      <c r="D7" s="12" t="s">
        <v>1114</v>
      </c>
      <c r="E7" s="12" t="s">
        <v>1113</v>
      </c>
      <c r="F7" s="12" t="s">
        <v>263</v>
      </c>
      <c r="G7" s="12" t="s">
        <v>270</v>
      </c>
      <c r="H7" s="12" t="s">
        <v>1368</v>
      </c>
      <c r="I7" s="12" t="s">
        <v>99</v>
      </c>
      <c r="J7" s="12" t="s">
        <v>179</v>
      </c>
      <c r="K7" s="12" t="s">
        <v>679</v>
      </c>
      <c r="L7" s="12" t="s">
        <v>704</v>
      </c>
      <c r="M7" s="12" t="s">
        <v>793</v>
      </c>
      <c r="N7" s="12" t="s">
        <v>802</v>
      </c>
      <c r="O7" s="12"/>
      <c r="P7" s="12"/>
      <c r="Q7" s="12" t="n">
        <v>16.5</v>
      </c>
      <c r="R7" s="12"/>
      <c r="S7" s="12"/>
      <c r="T7" s="12"/>
      <c r="U7" s="12"/>
      <c r="V7" s="12" t="s">
        <v>264</v>
      </c>
      <c r="W7" s="12" t="s">
        <v>1111</v>
      </c>
      <c r="X7" s="12" t="s">
        <v>1111</v>
      </c>
      <c r="Y7" s="12" t="s">
        <v>1370</v>
      </c>
      <c r="Z7" s="12" t="s">
        <v>1398</v>
      </c>
      <c r="AA7" s="12"/>
      <c r="AB7" s="12"/>
      <c r="AC7" s="12"/>
      <c r="AD7" s="12" t="s">
        <v>1110</v>
      </c>
      <c r="AE7" s="12" t="s">
        <v>1399</v>
      </c>
      <c r="AF7" s="12" t="s">
        <v>1400</v>
      </c>
      <c r="AG7" s="12" t="n">
        <f aca="false">COUNTIF(Variants!$B:$B,A7)</f>
        <v>2</v>
      </c>
      <c r="AH7" s="12" t="s">
        <v>1120</v>
      </c>
    </row>
    <row r="8" customFormat="false" ht="15" hidden="false" customHeight="false" outlineLevel="0" collapsed="false">
      <c r="A8" s="12" t="s">
        <v>1401</v>
      </c>
      <c r="B8" s="12" t="s">
        <v>1402</v>
      </c>
      <c r="C8" s="12" t="s">
        <v>1117</v>
      </c>
      <c r="D8" s="12" t="s">
        <v>1118</v>
      </c>
      <c r="E8" s="12" t="s">
        <v>1117</v>
      </c>
      <c r="F8" s="12" t="s">
        <v>263</v>
      </c>
      <c r="G8" s="12" t="s">
        <v>270</v>
      </c>
      <c r="H8" s="12" t="s">
        <v>1368</v>
      </c>
      <c r="I8" s="12" t="s">
        <v>99</v>
      </c>
      <c r="J8" s="12" t="s">
        <v>170</v>
      </c>
      <c r="K8" s="12" t="s">
        <v>682</v>
      </c>
      <c r="L8" s="12" t="s">
        <v>704</v>
      </c>
      <c r="M8" s="12" t="s">
        <v>793</v>
      </c>
      <c r="N8" s="12" t="s">
        <v>799</v>
      </c>
      <c r="O8" s="12"/>
      <c r="P8" s="12"/>
      <c r="Q8" s="12" t="n">
        <v>17</v>
      </c>
      <c r="R8" s="12"/>
      <c r="S8" s="12"/>
      <c r="T8" s="12"/>
      <c r="U8" s="12"/>
      <c r="V8" s="12" t="s">
        <v>264</v>
      </c>
      <c r="W8" s="12" t="s">
        <v>1111</v>
      </c>
      <c r="X8" s="12" t="s">
        <v>1111</v>
      </c>
      <c r="Y8" s="12" t="s">
        <v>1370</v>
      </c>
      <c r="Z8" s="12" t="s">
        <v>1403</v>
      </c>
      <c r="AA8" s="12"/>
      <c r="AB8" s="12"/>
      <c r="AC8" s="12"/>
      <c r="AD8" s="12" t="s">
        <v>1110</v>
      </c>
      <c r="AE8" s="12" t="s">
        <v>1404</v>
      </c>
      <c r="AF8" s="12" t="s">
        <v>1405</v>
      </c>
      <c r="AG8" s="12" t="n">
        <f aca="false">COUNTIF(Variants!$B:$B,A8)</f>
        <v>1</v>
      </c>
      <c r="AH8" s="12" t="s">
        <v>1120</v>
      </c>
    </row>
    <row r="9" customFormat="false" ht="15" hidden="false" customHeight="false" outlineLevel="0" collapsed="false">
      <c r="A9" s="12" t="s">
        <v>1406</v>
      </c>
      <c r="B9" s="12" t="s">
        <v>1407</v>
      </c>
      <c r="C9" s="12" t="s">
        <v>1122</v>
      </c>
      <c r="D9" s="12" t="s">
        <v>1123</v>
      </c>
      <c r="E9" s="12" t="s">
        <v>1122</v>
      </c>
      <c r="F9" s="12" t="s">
        <v>263</v>
      </c>
      <c r="G9" s="12" t="s">
        <v>270</v>
      </c>
      <c r="H9" s="12" t="s">
        <v>1368</v>
      </c>
      <c r="I9" s="12" t="s">
        <v>137</v>
      </c>
      <c r="J9" s="12" t="s">
        <v>1408</v>
      </c>
      <c r="K9" s="12" t="s">
        <v>695</v>
      </c>
      <c r="L9" s="12" t="s">
        <v>710</v>
      </c>
      <c r="M9" s="12" t="s">
        <v>793</v>
      </c>
      <c r="N9" s="12" t="s">
        <v>796</v>
      </c>
      <c r="O9" s="12"/>
      <c r="P9" s="12"/>
      <c r="Q9" s="12" t="n">
        <v>20</v>
      </c>
      <c r="R9" s="12"/>
      <c r="S9" s="12"/>
      <c r="T9" s="12"/>
      <c r="U9" s="12"/>
      <c r="V9" s="12" t="s">
        <v>264</v>
      </c>
      <c r="W9" s="12" t="s">
        <v>1111</v>
      </c>
      <c r="X9" s="12" t="s">
        <v>1111</v>
      </c>
      <c r="Y9" s="12" t="s">
        <v>1370</v>
      </c>
      <c r="Z9" s="12" t="s">
        <v>1409</v>
      </c>
      <c r="AA9" s="12"/>
      <c r="AB9" s="12"/>
      <c r="AC9" s="12"/>
      <c r="AD9" s="12" t="s">
        <v>1110</v>
      </c>
      <c r="AE9" s="12" t="s">
        <v>1410</v>
      </c>
      <c r="AF9" s="12" t="s">
        <v>1411</v>
      </c>
      <c r="AG9" s="12" t="n">
        <f aca="false">COUNTIF(Variants!$B:$B,A9)</f>
        <v>1</v>
      </c>
      <c r="AH9" s="12" t="s">
        <v>1120</v>
      </c>
    </row>
    <row r="10" customFormat="false" ht="15" hidden="false" customHeight="false" outlineLevel="0" collapsed="false">
      <c r="A10" s="12" t="s">
        <v>1412</v>
      </c>
      <c r="B10" s="12" t="s">
        <v>1413</v>
      </c>
      <c r="C10" s="12" t="s">
        <v>1117</v>
      </c>
      <c r="D10" s="12" t="s">
        <v>1118</v>
      </c>
      <c r="E10" s="12" t="s">
        <v>1117</v>
      </c>
      <c r="F10" s="12" t="s">
        <v>263</v>
      </c>
      <c r="G10" s="12" t="s">
        <v>270</v>
      </c>
      <c r="H10" s="12" t="s">
        <v>1368</v>
      </c>
      <c r="I10" s="12" t="s">
        <v>137</v>
      </c>
      <c r="J10" s="12" t="s">
        <v>195</v>
      </c>
      <c r="K10" s="12" t="s">
        <v>695</v>
      </c>
      <c r="L10" s="12" t="s">
        <v>710</v>
      </c>
      <c r="M10" s="12" t="s">
        <v>793</v>
      </c>
      <c r="N10" s="12" t="s">
        <v>799</v>
      </c>
      <c r="O10" s="12"/>
      <c r="P10" s="12"/>
      <c r="Q10" s="12" t="n">
        <v>16</v>
      </c>
      <c r="R10" s="12"/>
      <c r="S10" s="12"/>
      <c r="T10" s="12"/>
      <c r="U10" s="12"/>
      <c r="V10" s="12" t="s">
        <v>264</v>
      </c>
      <c r="W10" s="12" t="s">
        <v>1111</v>
      </c>
      <c r="X10" s="12" t="s">
        <v>1111</v>
      </c>
      <c r="Y10" s="12" t="s">
        <v>1370</v>
      </c>
      <c r="Z10" s="12" t="s">
        <v>1414</v>
      </c>
      <c r="AA10" s="12"/>
      <c r="AB10" s="12"/>
      <c r="AC10" s="12"/>
      <c r="AD10" s="12" t="s">
        <v>1110</v>
      </c>
      <c r="AE10" s="12" t="s">
        <v>1415</v>
      </c>
      <c r="AF10" s="12" t="s">
        <v>1416</v>
      </c>
      <c r="AG10" s="12" t="n">
        <f aca="false">COUNTIF(Variants!$B:$B,A10)</f>
        <v>1</v>
      </c>
      <c r="AH10" s="12" t="s">
        <v>1120</v>
      </c>
    </row>
    <row r="11" customFormat="false" ht="15" hidden="false" customHeight="false" outlineLevel="0" collapsed="false">
      <c r="A11" s="12" t="s">
        <v>1417</v>
      </c>
      <c r="B11" s="12" t="s">
        <v>1418</v>
      </c>
      <c r="C11" s="12" t="s">
        <v>1122</v>
      </c>
      <c r="D11" s="12" t="s">
        <v>1123</v>
      </c>
      <c r="E11" s="12" t="s">
        <v>1122</v>
      </c>
      <c r="F11" s="12" t="s">
        <v>263</v>
      </c>
      <c r="G11" s="12" t="s">
        <v>270</v>
      </c>
      <c r="H11" s="12" t="s">
        <v>1368</v>
      </c>
      <c r="I11" s="12" t="s">
        <v>137</v>
      </c>
      <c r="J11" s="12" t="s">
        <v>1419</v>
      </c>
      <c r="K11" s="12" t="s">
        <v>695</v>
      </c>
      <c r="L11" s="12" t="s">
        <v>704</v>
      </c>
      <c r="M11" s="12" t="s">
        <v>793</v>
      </c>
      <c r="N11" s="12" t="s">
        <v>796</v>
      </c>
      <c r="O11" s="12"/>
      <c r="P11" s="12"/>
      <c r="Q11" s="12" t="n">
        <v>16</v>
      </c>
      <c r="R11" s="12"/>
      <c r="S11" s="12"/>
      <c r="T11" s="12"/>
      <c r="U11" s="12"/>
      <c r="V11" s="12" t="s">
        <v>264</v>
      </c>
      <c r="W11" s="12" t="s">
        <v>1111</v>
      </c>
      <c r="X11" s="12" t="s">
        <v>1111</v>
      </c>
      <c r="Y11" s="12" t="s">
        <v>1370</v>
      </c>
      <c r="Z11" s="12" t="s">
        <v>1420</v>
      </c>
      <c r="AA11" s="12"/>
      <c r="AB11" s="12"/>
      <c r="AC11" s="12"/>
      <c r="AD11" s="12" t="s">
        <v>1110</v>
      </c>
      <c r="AE11" s="12" t="s">
        <v>1421</v>
      </c>
      <c r="AF11" s="12" t="s">
        <v>1422</v>
      </c>
      <c r="AG11" s="12" t="n">
        <f aca="false">COUNTIF(Variants!$B:$B,A11)</f>
        <v>1</v>
      </c>
      <c r="AH11" s="12" t="s">
        <v>1120</v>
      </c>
    </row>
    <row r="12" customFormat="false" ht="15" hidden="false" customHeight="false" outlineLevel="0" collapsed="false">
      <c r="A12" s="12" t="s">
        <v>1423</v>
      </c>
      <c r="B12" s="12" t="s">
        <v>1424</v>
      </c>
      <c r="C12" s="12" t="s">
        <v>1125</v>
      </c>
      <c r="D12" s="12" t="s">
        <v>1126</v>
      </c>
      <c r="E12" s="12" t="s">
        <v>1125</v>
      </c>
      <c r="F12" s="12" t="s">
        <v>263</v>
      </c>
      <c r="G12" s="12" t="s">
        <v>270</v>
      </c>
      <c r="H12" s="12" t="s">
        <v>1368</v>
      </c>
      <c r="I12" s="12" t="s">
        <v>113</v>
      </c>
      <c r="J12" s="12" t="s">
        <v>216</v>
      </c>
      <c r="K12" s="12" t="s">
        <v>686</v>
      </c>
      <c r="L12" s="12" t="s">
        <v>704</v>
      </c>
      <c r="M12" s="12" t="s">
        <v>793</v>
      </c>
      <c r="N12" s="12" t="s">
        <v>805</v>
      </c>
      <c r="O12" s="12"/>
      <c r="P12" s="12"/>
      <c r="Q12" s="12" t="n">
        <v>16</v>
      </c>
      <c r="R12" s="12"/>
      <c r="S12" s="12"/>
      <c r="T12" s="12"/>
      <c r="U12" s="12"/>
      <c r="V12" s="12" t="s">
        <v>264</v>
      </c>
      <c r="W12" s="12" t="s">
        <v>1111</v>
      </c>
      <c r="X12" s="12" t="s">
        <v>1111</v>
      </c>
      <c r="Y12" s="12" t="s">
        <v>1370</v>
      </c>
      <c r="Z12" s="12" t="s">
        <v>1425</v>
      </c>
      <c r="AA12" s="12"/>
      <c r="AB12" s="12"/>
      <c r="AC12" s="12"/>
      <c r="AD12" s="12" t="s">
        <v>1110</v>
      </c>
      <c r="AE12" s="12" t="s">
        <v>1426</v>
      </c>
      <c r="AF12" s="12" t="s">
        <v>1427</v>
      </c>
      <c r="AG12" s="12" t="n">
        <f aca="false">COUNTIF(Variants!$B:$B,A12)</f>
        <v>2</v>
      </c>
      <c r="AH12" s="12" t="s">
        <v>1120</v>
      </c>
    </row>
    <row r="13" customFormat="false" ht="15" hidden="false" customHeight="false" outlineLevel="0" collapsed="false">
      <c r="A13" s="12" t="s">
        <v>1428</v>
      </c>
      <c r="B13" s="12" t="s">
        <v>1429</v>
      </c>
      <c r="C13" s="12" t="s">
        <v>1125</v>
      </c>
      <c r="D13" s="12" t="s">
        <v>1126</v>
      </c>
      <c r="E13" s="12" t="s">
        <v>1125</v>
      </c>
      <c r="F13" s="12" t="s">
        <v>263</v>
      </c>
      <c r="G13" s="12" t="s">
        <v>270</v>
      </c>
      <c r="H13" s="12" t="s">
        <v>1368</v>
      </c>
      <c r="I13" s="12" t="s">
        <v>1430</v>
      </c>
      <c r="J13" s="12" t="s">
        <v>208</v>
      </c>
      <c r="K13" s="12" t="s">
        <v>1431</v>
      </c>
      <c r="L13" s="12" t="s">
        <v>710</v>
      </c>
      <c r="M13" s="12" t="s">
        <v>793</v>
      </c>
      <c r="N13" s="12" t="s">
        <v>796</v>
      </c>
      <c r="O13" s="12"/>
      <c r="P13" s="12"/>
      <c r="Q13" s="12" t="n">
        <v>20</v>
      </c>
      <c r="R13" s="12"/>
      <c r="S13" s="12"/>
      <c r="T13" s="12"/>
      <c r="U13" s="12"/>
      <c r="V13" s="12" t="s">
        <v>264</v>
      </c>
      <c r="W13" s="12" t="s">
        <v>1111</v>
      </c>
      <c r="X13" s="12" t="s">
        <v>1111</v>
      </c>
      <c r="Y13" s="12" t="s">
        <v>1370</v>
      </c>
      <c r="Z13" s="12" t="s">
        <v>1432</v>
      </c>
      <c r="AA13" s="12"/>
      <c r="AB13" s="12"/>
      <c r="AC13" s="12"/>
      <c r="AD13" s="12" t="s">
        <v>1110</v>
      </c>
      <c r="AE13" s="12" t="s">
        <v>1433</v>
      </c>
      <c r="AF13" s="12" t="s">
        <v>1434</v>
      </c>
      <c r="AG13" s="12" t="n">
        <f aca="false">COUNTIF(Variants!$B:$B,A13)</f>
        <v>1</v>
      </c>
      <c r="AH13" s="12" t="s">
        <v>1120</v>
      </c>
    </row>
    <row r="14" customFormat="false" ht="15" hidden="false" customHeight="false" outlineLevel="0" collapsed="false">
      <c r="A14" s="12" t="s">
        <v>1435</v>
      </c>
      <c r="B14" s="12" t="s">
        <v>1436</v>
      </c>
      <c r="C14" s="12" t="s">
        <v>1125</v>
      </c>
      <c r="D14" s="12" t="s">
        <v>1126</v>
      </c>
      <c r="E14" s="12" t="s">
        <v>1125</v>
      </c>
      <c r="F14" s="12" t="s">
        <v>263</v>
      </c>
      <c r="G14" s="12" t="s">
        <v>270</v>
      </c>
      <c r="H14" s="12" t="s">
        <v>1368</v>
      </c>
      <c r="I14" s="12" t="s">
        <v>1437</v>
      </c>
      <c r="J14" s="12" t="s">
        <v>1438</v>
      </c>
      <c r="K14" s="12" t="s">
        <v>692</v>
      </c>
      <c r="L14" s="12" t="s">
        <v>704</v>
      </c>
      <c r="M14" s="12" t="s">
        <v>793</v>
      </c>
      <c r="N14" s="12" t="s">
        <v>799</v>
      </c>
      <c r="O14" s="12"/>
      <c r="P14" s="12"/>
      <c r="Q14" s="12" t="n">
        <v>15</v>
      </c>
      <c r="R14" s="12"/>
      <c r="S14" s="12"/>
      <c r="T14" s="12"/>
      <c r="U14" s="12"/>
      <c r="V14" s="12" t="s">
        <v>264</v>
      </c>
      <c r="W14" s="12" t="s">
        <v>1111</v>
      </c>
      <c r="X14" s="12" t="s">
        <v>1111</v>
      </c>
      <c r="Y14" s="12" t="s">
        <v>1370</v>
      </c>
      <c r="Z14" s="12" t="s">
        <v>1439</v>
      </c>
      <c r="AA14" s="12"/>
      <c r="AB14" s="12"/>
      <c r="AC14" s="12"/>
      <c r="AD14" s="12" t="s">
        <v>1110</v>
      </c>
      <c r="AE14" s="12" t="s">
        <v>1440</v>
      </c>
      <c r="AF14" s="12" t="s">
        <v>1441</v>
      </c>
      <c r="AG14" s="12" t="n">
        <f aca="false">COUNTIF(Variants!$B:$B,A14)</f>
        <v>1</v>
      </c>
      <c r="AH14" s="12" t="s">
        <v>1120</v>
      </c>
    </row>
    <row r="15" customFormat="false" ht="15" hidden="false" customHeight="false" outlineLevel="0" collapsed="false">
      <c r="A15" s="12" t="s">
        <v>1442</v>
      </c>
      <c r="B15" s="12" t="s">
        <v>1443</v>
      </c>
      <c r="C15" s="12" t="s">
        <v>1128</v>
      </c>
      <c r="D15" s="12" t="s">
        <v>1129</v>
      </c>
      <c r="E15" s="12" t="s">
        <v>1128</v>
      </c>
      <c r="F15" s="12" t="s">
        <v>263</v>
      </c>
      <c r="G15" s="12" t="s">
        <v>270</v>
      </c>
      <c r="H15" s="12" t="s">
        <v>1368</v>
      </c>
      <c r="I15" s="12" t="s">
        <v>145</v>
      </c>
      <c r="J15" s="12" t="s">
        <v>245</v>
      </c>
      <c r="K15" s="12" t="s">
        <v>698</v>
      </c>
      <c r="L15" s="12" t="s">
        <v>712</v>
      </c>
      <c r="M15" s="12" t="s">
        <v>793</v>
      </c>
      <c r="N15" s="12" t="s">
        <v>796</v>
      </c>
      <c r="O15" s="12"/>
      <c r="P15" s="12"/>
      <c r="Q15" s="12" t="n">
        <v>35</v>
      </c>
      <c r="R15" s="12"/>
      <c r="S15" s="12"/>
      <c r="T15" s="12"/>
      <c r="U15" s="12"/>
      <c r="V15" s="12" t="s">
        <v>264</v>
      </c>
      <c r="W15" s="12" t="s">
        <v>1111</v>
      </c>
      <c r="X15" s="12" t="s">
        <v>1111</v>
      </c>
      <c r="Y15" s="12" t="s">
        <v>1370</v>
      </c>
      <c r="Z15" s="12" t="s">
        <v>1444</v>
      </c>
      <c r="AA15" s="12"/>
      <c r="AB15" s="12"/>
      <c r="AC15" s="12"/>
      <c r="AD15" s="12" t="s">
        <v>1110</v>
      </c>
      <c r="AE15" s="12" t="s">
        <v>1445</v>
      </c>
      <c r="AF15" s="12" t="s">
        <v>1446</v>
      </c>
      <c r="AG15" s="12" t="n">
        <f aca="false">COUNTIF(Variants!$B:$B,A15)</f>
        <v>1</v>
      </c>
      <c r="AH15" s="12" t="s">
        <v>1120</v>
      </c>
    </row>
    <row r="16" customFormat="false" ht="15" hidden="false" customHeight="false" outlineLevel="0" collapsed="false">
      <c r="A16" s="12" t="s">
        <v>1447</v>
      </c>
      <c r="B16" s="12" t="s">
        <v>1448</v>
      </c>
      <c r="C16" s="12" t="s">
        <v>1128</v>
      </c>
      <c r="D16" s="12" t="s">
        <v>1129</v>
      </c>
      <c r="E16" s="12" t="s">
        <v>1128</v>
      </c>
      <c r="F16" s="12" t="s">
        <v>263</v>
      </c>
      <c r="G16" s="12" t="s">
        <v>270</v>
      </c>
      <c r="H16" s="12" t="s">
        <v>1368</v>
      </c>
      <c r="I16" s="12" t="s">
        <v>145</v>
      </c>
      <c r="J16" s="12" t="s">
        <v>249</v>
      </c>
      <c r="K16" s="12" t="s">
        <v>698</v>
      </c>
      <c r="L16" s="12" t="s">
        <v>712</v>
      </c>
      <c r="M16" s="12" t="s">
        <v>793</v>
      </c>
      <c r="N16" s="12" t="s">
        <v>799</v>
      </c>
      <c r="O16" s="12"/>
      <c r="P16" s="12"/>
      <c r="Q16" s="12" t="n">
        <v>30</v>
      </c>
      <c r="R16" s="12"/>
      <c r="S16" s="12"/>
      <c r="T16" s="12"/>
      <c r="U16" s="12"/>
      <c r="V16" s="12" t="s">
        <v>264</v>
      </c>
      <c r="W16" s="12" t="s">
        <v>1111</v>
      </c>
      <c r="X16" s="12" t="s">
        <v>1111</v>
      </c>
      <c r="Y16" s="12" t="s">
        <v>1370</v>
      </c>
      <c r="Z16" s="12" t="s">
        <v>1449</v>
      </c>
      <c r="AA16" s="12"/>
      <c r="AB16" s="12"/>
      <c r="AC16" s="12"/>
      <c r="AD16" s="12" t="s">
        <v>1110</v>
      </c>
      <c r="AE16" s="12" t="s">
        <v>1445</v>
      </c>
      <c r="AF16" s="12" t="s">
        <v>1450</v>
      </c>
      <c r="AG16" s="12" t="n">
        <f aca="false">COUNTIF(Variants!$B:$B,A16)</f>
        <v>1</v>
      </c>
      <c r="AH16" s="12" t="s">
        <v>1120</v>
      </c>
    </row>
    <row r="17" customFormat="false" ht="15" hidden="false" customHeight="false" outlineLevel="0" collapsed="false">
      <c r="A17" s="12" t="s">
        <v>1451</v>
      </c>
      <c r="B17" s="12" t="s">
        <v>1452</v>
      </c>
      <c r="C17" s="12" t="s">
        <v>1128</v>
      </c>
      <c r="D17" s="12" t="s">
        <v>1129</v>
      </c>
      <c r="E17" s="12" t="s">
        <v>1128</v>
      </c>
      <c r="F17" s="12" t="s">
        <v>263</v>
      </c>
      <c r="G17" s="12" t="s">
        <v>270</v>
      </c>
      <c r="H17" s="12" t="s">
        <v>1368</v>
      </c>
      <c r="I17" s="12" t="s">
        <v>149</v>
      </c>
      <c r="J17" s="12" t="s">
        <v>249</v>
      </c>
      <c r="K17" s="12" t="s">
        <v>698</v>
      </c>
      <c r="L17" s="12" t="s">
        <v>712</v>
      </c>
      <c r="M17" s="12" t="s">
        <v>793</v>
      </c>
      <c r="N17" s="12" t="s">
        <v>799</v>
      </c>
      <c r="O17" s="12"/>
      <c r="P17" s="12"/>
      <c r="Q17" s="12" t="n">
        <v>40</v>
      </c>
      <c r="R17" s="12"/>
      <c r="S17" s="12"/>
      <c r="T17" s="12"/>
      <c r="U17" s="12"/>
      <c r="V17" s="12" t="s">
        <v>264</v>
      </c>
      <c r="W17" s="12" t="s">
        <v>1111</v>
      </c>
      <c r="X17" s="12" t="s">
        <v>1111</v>
      </c>
      <c r="Y17" s="12" t="s">
        <v>1370</v>
      </c>
      <c r="Z17" s="12" t="s">
        <v>1453</v>
      </c>
      <c r="AA17" s="12"/>
      <c r="AB17" s="12"/>
      <c r="AC17" s="12"/>
      <c r="AD17" s="12" t="s">
        <v>1110</v>
      </c>
      <c r="AE17" s="12" t="s">
        <v>1454</v>
      </c>
      <c r="AF17" s="12" t="s">
        <v>1455</v>
      </c>
      <c r="AG17" s="12" t="n">
        <f aca="false">COUNTIF(Variants!$B:$B,A17)</f>
        <v>1</v>
      </c>
      <c r="AH17" s="12" t="s">
        <v>1120</v>
      </c>
    </row>
    <row r="18" customFormat="false" ht="15" hidden="false" customHeight="false" outlineLevel="0" collapsed="false">
      <c r="A18" s="12" t="s">
        <v>1456</v>
      </c>
      <c r="B18" s="12" t="s">
        <v>1457</v>
      </c>
      <c r="C18" s="12" t="s">
        <v>1122</v>
      </c>
      <c r="D18" s="12" t="s">
        <v>1123</v>
      </c>
      <c r="E18" s="12" t="s">
        <v>1122</v>
      </c>
      <c r="F18" s="12" t="s">
        <v>263</v>
      </c>
      <c r="G18" s="12" t="s">
        <v>270</v>
      </c>
      <c r="H18" s="12" t="s">
        <v>1368</v>
      </c>
      <c r="I18" s="12" t="s">
        <v>153</v>
      </c>
      <c r="J18" s="12" t="s">
        <v>160</v>
      </c>
      <c r="K18" s="12" t="s">
        <v>701</v>
      </c>
      <c r="L18" s="12" t="s">
        <v>710</v>
      </c>
      <c r="M18" s="12" t="s">
        <v>793</v>
      </c>
      <c r="N18" s="12" t="s">
        <v>799</v>
      </c>
      <c r="O18" s="12"/>
      <c r="P18" s="12"/>
      <c r="Q18" s="12" t="n">
        <v>17</v>
      </c>
      <c r="R18" s="12"/>
      <c r="S18" s="12"/>
      <c r="T18" s="12"/>
      <c r="U18" s="12"/>
      <c r="V18" s="12" t="s">
        <v>264</v>
      </c>
      <c r="W18" s="12" t="s">
        <v>1111</v>
      </c>
      <c r="X18" s="12" t="s">
        <v>1111</v>
      </c>
      <c r="Y18" s="12" t="s">
        <v>1370</v>
      </c>
      <c r="Z18" s="12" t="s">
        <v>1458</v>
      </c>
      <c r="AA18" s="12"/>
      <c r="AB18" s="12"/>
      <c r="AC18" s="12"/>
      <c r="AD18" s="12" t="s">
        <v>1110</v>
      </c>
      <c r="AE18" s="12" t="s">
        <v>1023</v>
      </c>
      <c r="AF18" s="12" t="s">
        <v>1459</v>
      </c>
      <c r="AG18" s="12" t="n">
        <f aca="false">COUNTIF(Variants!$B:$B,A18)</f>
        <v>1</v>
      </c>
      <c r="AH18" s="12" t="s">
        <v>1120</v>
      </c>
    </row>
    <row r="19" customFormat="false" ht="15" hidden="false" customHeight="false" outlineLevel="0" collapsed="false">
      <c r="A19" s="12" t="s">
        <v>1460</v>
      </c>
      <c r="B19" s="12" t="s">
        <v>1461</v>
      </c>
      <c r="C19" s="12" t="s">
        <v>1107</v>
      </c>
      <c r="D19" s="12" t="s">
        <v>1108</v>
      </c>
      <c r="E19" s="12" t="s">
        <v>1107</v>
      </c>
      <c r="F19" s="12" t="s">
        <v>263</v>
      </c>
      <c r="G19" s="12" t="s">
        <v>278</v>
      </c>
      <c r="H19" s="12" t="s">
        <v>1462</v>
      </c>
      <c r="I19" s="12" t="s">
        <v>137</v>
      </c>
      <c r="J19" s="12" t="s">
        <v>1463</v>
      </c>
      <c r="K19" s="12" t="s">
        <v>695</v>
      </c>
      <c r="L19" s="12" t="s">
        <v>704</v>
      </c>
      <c r="M19" s="12" t="s">
        <v>757</v>
      </c>
      <c r="N19" s="12" t="s">
        <v>1464</v>
      </c>
      <c r="O19" s="12"/>
      <c r="P19" s="12" t="s">
        <v>1465</v>
      </c>
      <c r="Q19" s="12" t="n">
        <v>20</v>
      </c>
      <c r="R19" s="12" t="s">
        <v>1466</v>
      </c>
      <c r="S19" s="12"/>
      <c r="T19" s="12"/>
      <c r="U19" s="12"/>
      <c r="V19" s="12" t="s">
        <v>264</v>
      </c>
      <c r="W19" s="12" t="s">
        <v>1111</v>
      </c>
      <c r="X19" s="12" t="s">
        <v>1111</v>
      </c>
      <c r="Y19" s="12" t="s">
        <v>1370</v>
      </c>
      <c r="Z19" s="12" t="s">
        <v>1467</v>
      </c>
      <c r="AA19" s="12"/>
      <c r="AB19" s="12"/>
      <c r="AC19" s="12"/>
      <c r="AD19" s="12" t="s">
        <v>1110</v>
      </c>
      <c r="AE19" s="12" t="s">
        <v>1468</v>
      </c>
      <c r="AF19" s="12" t="s">
        <v>1469</v>
      </c>
      <c r="AG19" s="12" t="n">
        <f aca="false">COUNTIF(Variants!$B:$B,A19)</f>
        <v>2</v>
      </c>
      <c r="AH19" s="12" t="s">
        <v>1120</v>
      </c>
    </row>
    <row r="20" customFormat="false" ht="15" hidden="false" customHeight="false" outlineLevel="0" collapsed="false">
      <c r="A20" s="12" t="s">
        <v>1470</v>
      </c>
      <c r="B20" s="12" t="s">
        <v>1471</v>
      </c>
      <c r="C20" s="12" t="s">
        <v>1117</v>
      </c>
      <c r="D20" s="12" t="s">
        <v>1118</v>
      </c>
      <c r="E20" s="12" t="s">
        <v>1117</v>
      </c>
      <c r="F20" s="12" t="s">
        <v>263</v>
      </c>
      <c r="G20" s="12" t="s">
        <v>278</v>
      </c>
      <c r="H20" s="12" t="s">
        <v>1462</v>
      </c>
      <c r="I20" s="12" t="s">
        <v>99</v>
      </c>
      <c r="J20" s="12" t="s">
        <v>1472</v>
      </c>
      <c r="K20" s="12" t="s">
        <v>676</v>
      </c>
      <c r="L20" s="12" t="s">
        <v>704</v>
      </c>
      <c r="M20" s="12" t="s">
        <v>757</v>
      </c>
      <c r="N20" s="12" t="s">
        <v>1473</v>
      </c>
      <c r="O20" s="12"/>
      <c r="P20" s="12"/>
      <c r="Q20" s="12" t="n">
        <v>30</v>
      </c>
      <c r="R20" s="12" t="s">
        <v>1474</v>
      </c>
      <c r="S20" s="12"/>
      <c r="T20" s="12"/>
      <c r="U20" s="12"/>
      <c r="V20" s="12" t="s">
        <v>264</v>
      </c>
      <c r="W20" s="12" t="s">
        <v>1111</v>
      </c>
      <c r="X20" s="12" t="s">
        <v>1111</v>
      </c>
      <c r="Y20" s="12" t="s">
        <v>1370</v>
      </c>
      <c r="Z20" s="12" t="s">
        <v>1475</v>
      </c>
      <c r="AA20" s="12"/>
      <c r="AB20" s="12"/>
      <c r="AC20" s="12"/>
      <c r="AD20" s="12" t="s">
        <v>1110</v>
      </c>
      <c r="AE20" s="12" t="s">
        <v>1476</v>
      </c>
      <c r="AF20" s="12" t="s">
        <v>1477</v>
      </c>
      <c r="AG20" s="12" t="n">
        <f aca="false">COUNTIF(Variants!$B:$B,A20)</f>
        <v>1</v>
      </c>
      <c r="AH20" s="12" t="s">
        <v>1120</v>
      </c>
    </row>
    <row r="21" customFormat="false" ht="15" hidden="false" customHeight="false" outlineLevel="0" collapsed="false">
      <c r="A21" s="12" t="s">
        <v>1478</v>
      </c>
      <c r="B21" s="12" t="s">
        <v>1479</v>
      </c>
      <c r="C21" s="12" t="s">
        <v>1122</v>
      </c>
      <c r="D21" s="12" t="s">
        <v>1123</v>
      </c>
      <c r="E21" s="12" t="s">
        <v>1122</v>
      </c>
      <c r="F21" s="12" t="s">
        <v>263</v>
      </c>
      <c r="G21" s="12" t="s">
        <v>278</v>
      </c>
      <c r="H21" s="12" t="s">
        <v>1462</v>
      </c>
      <c r="I21" s="12" t="s">
        <v>99</v>
      </c>
      <c r="J21" s="12" t="s">
        <v>179</v>
      </c>
      <c r="K21" s="12" t="s">
        <v>679</v>
      </c>
      <c r="L21" s="12" t="s">
        <v>704</v>
      </c>
      <c r="M21" s="12" t="s">
        <v>757</v>
      </c>
      <c r="N21" s="12" t="s">
        <v>1480</v>
      </c>
      <c r="O21" s="12"/>
      <c r="P21" s="12"/>
      <c r="Q21" s="12" t="n">
        <v>32</v>
      </c>
      <c r="R21" s="12" t="s">
        <v>1474</v>
      </c>
      <c r="S21" s="12"/>
      <c r="T21" s="12"/>
      <c r="U21" s="12"/>
      <c r="V21" s="12" t="s">
        <v>264</v>
      </c>
      <c r="W21" s="12" t="s">
        <v>1111</v>
      </c>
      <c r="X21" s="12" t="s">
        <v>1111</v>
      </c>
      <c r="Y21" s="12" t="s">
        <v>1370</v>
      </c>
      <c r="Z21" s="12" t="s">
        <v>1481</v>
      </c>
      <c r="AA21" s="12"/>
      <c r="AB21" s="12"/>
      <c r="AC21" s="12"/>
      <c r="AD21" s="12" t="s">
        <v>1110</v>
      </c>
      <c r="AE21" s="12" t="s">
        <v>1482</v>
      </c>
      <c r="AF21" s="12" t="s">
        <v>1483</v>
      </c>
      <c r="AG21" s="12" t="n">
        <f aca="false">COUNTIF(Variants!$B:$B,A21)</f>
        <v>1</v>
      </c>
      <c r="AH21" s="12" t="s">
        <v>1120</v>
      </c>
    </row>
    <row r="22" customFormat="false" ht="15" hidden="false" customHeight="false" outlineLevel="0" collapsed="false">
      <c r="A22" s="12" t="s">
        <v>1484</v>
      </c>
      <c r="B22" s="12" t="s">
        <v>1485</v>
      </c>
      <c r="C22" s="12" t="s">
        <v>1125</v>
      </c>
      <c r="D22" s="12" t="s">
        <v>1126</v>
      </c>
      <c r="E22" s="12" t="s">
        <v>1125</v>
      </c>
      <c r="F22" s="12" t="s">
        <v>263</v>
      </c>
      <c r="G22" s="12" t="s">
        <v>278</v>
      </c>
      <c r="H22" s="12" t="s">
        <v>1462</v>
      </c>
      <c r="I22" s="12" t="s">
        <v>113</v>
      </c>
      <c r="J22" s="12" t="s">
        <v>216</v>
      </c>
      <c r="K22" s="12" t="s">
        <v>686</v>
      </c>
      <c r="L22" s="12" t="s">
        <v>704</v>
      </c>
      <c r="M22" s="12" t="s">
        <v>757</v>
      </c>
      <c r="N22" s="12" t="s">
        <v>1486</v>
      </c>
      <c r="O22" s="12"/>
      <c r="P22" s="12"/>
      <c r="Q22" s="12" t="n">
        <v>24</v>
      </c>
      <c r="R22" s="12" t="s">
        <v>1487</v>
      </c>
      <c r="S22" s="12"/>
      <c r="T22" s="12"/>
      <c r="U22" s="12"/>
      <c r="V22" s="12" t="s">
        <v>264</v>
      </c>
      <c r="W22" s="12" t="s">
        <v>1111</v>
      </c>
      <c r="X22" s="12" t="s">
        <v>1111</v>
      </c>
      <c r="Y22" s="12" t="s">
        <v>1370</v>
      </c>
      <c r="Z22" s="12" t="s">
        <v>1488</v>
      </c>
      <c r="AA22" s="12"/>
      <c r="AB22" s="12"/>
      <c r="AC22" s="12"/>
      <c r="AD22" s="12" t="s">
        <v>1110</v>
      </c>
      <c r="AE22" s="12" t="s">
        <v>1489</v>
      </c>
      <c r="AF22" s="12" t="s">
        <v>1490</v>
      </c>
      <c r="AG22" s="12" t="n">
        <f aca="false">COUNTIF(Variants!$B:$B,A22)</f>
        <v>1</v>
      </c>
      <c r="AH22" s="12" t="s">
        <v>1120</v>
      </c>
    </row>
    <row r="23" customFormat="false" ht="15" hidden="false" customHeight="false" outlineLevel="0" collapsed="false">
      <c r="A23" s="12" t="s">
        <v>1491</v>
      </c>
      <c r="B23" s="12" t="s">
        <v>1492</v>
      </c>
      <c r="C23" s="12" t="s">
        <v>1134</v>
      </c>
      <c r="D23" s="12" t="s">
        <v>1135</v>
      </c>
      <c r="E23" s="12" t="s">
        <v>1134</v>
      </c>
      <c r="F23" s="12" t="s">
        <v>263</v>
      </c>
      <c r="G23" s="12" t="s">
        <v>285</v>
      </c>
      <c r="H23" s="12" t="s">
        <v>1493</v>
      </c>
      <c r="I23" s="12" t="s">
        <v>99</v>
      </c>
      <c r="J23" s="12" t="s">
        <v>1472</v>
      </c>
      <c r="K23" s="12" t="s">
        <v>676</v>
      </c>
      <c r="L23" s="12" t="s">
        <v>715</v>
      </c>
      <c r="M23" s="12" t="s">
        <v>757</v>
      </c>
      <c r="N23" s="12" t="s">
        <v>862</v>
      </c>
      <c r="O23" s="12"/>
      <c r="P23" s="12" t="s">
        <v>1494</v>
      </c>
      <c r="Q23" s="12"/>
      <c r="R23" s="12" t="s">
        <v>1495</v>
      </c>
      <c r="S23" s="12"/>
      <c r="T23" s="12"/>
      <c r="U23" s="12"/>
      <c r="V23" s="12" t="s">
        <v>911</v>
      </c>
      <c r="W23" s="12" t="s">
        <v>1111</v>
      </c>
      <c r="X23" s="12" t="s">
        <v>1111</v>
      </c>
      <c r="Y23" s="12" t="s">
        <v>1370</v>
      </c>
      <c r="Z23" s="12" t="s">
        <v>1496</v>
      </c>
      <c r="AA23" s="12"/>
      <c r="AB23" s="12"/>
      <c r="AC23" s="12"/>
      <c r="AD23" s="12" t="s">
        <v>1110</v>
      </c>
      <c r="AE23" s="12" t="s">
        <v>1497</v>
      </c>
      <c r="AF23" s="12" t="s">
        <v>1498</v>
      </c>
      <c r="AG23" s="12" t="n">
        <f aca="false">COUNTIF(Variants!$B:$B,A23)</f>
        <v>2</v>
      </c>
      <c r="AH23" s="12" t="s">
        <v>1120</v>
      </c>
    </row>
    <row r="24" customFormat="false" ht="15" hidden="false" customHeight="false" outlineLevel="0" collapsed="false">
      <c r="A24" s="12" t="s">
        <v>1499</v>
      </c>
      <c r="B24" s="12" t="s">
        <v>1500</v>
      </c>
      <c r="C24" s="12" t="s">
        <v>1134</v>
      </c>
      <c r="D24" s="12" t="s">
        <v>1135</v>
      </c>
      <c r="E24" s="12" t="s">
        <v>1134</v>
      </c>
      <c r="F24" s="12" t="s">
        <v>263</v>
      </c>
      <c r="G24" s="12" t="s">
        <v>285</v>
      </c>
      <c r="H24" s="12" t="s">
        <v>1493</v>
      </c>
      <c r="I24" s="12" t="s">
        <v>99</v>
      </c>
      <c r="J24" s="12" t="s">
        <v>179</v>
      </c>
      <c r="K24" s="12" t="s">
        <v>679</v>
      </c>
      <c r="L24" s="12" t="s">
        <v>715</v>
      </c>
      <c r="M24" s="12" t="s">
        <v>757</v>
      </c>
      <c r="N24" s="12" t="s">
        <v>862</v>
      </c>
      <c r="O24" s="12"/>
      <c r="P24" s="12" t="s">
        <v>1494</v>
      </c>
      <c r="Q24" s="12"/>
      <c r="R24" s="12" t="s">
        <v>1495</v>
      </c>
      <c r="S24" s="12"/>
      <c r="T24" s="12"/>
      <c r="U24" s="12"/>
      <c r="V24" s="12" t="s">
        <v>911</v>
      </c>
      <c r="W24" s="12" t="s">
        <v>1111</v>
      </c>
      <c r="X24" s="12" t="s">
        <v>1111</v>
      </c>
      <c r="Y24" s="12" t="s">
        <v>1370</v>
      </c>
      <c r="Z24" s="12" t="s">
        <v>1501</v>
      </c>
      <c r="AA24" s="12"/>
      <c r="AB24" s="12"/>
      <c r="AC24" s="12"/>
      <c r="AD24" s="12" t="s">
        <v>1110</v>
      </c>
      <c r="AE24" s="12" t="s">
        <v>1497</v>
      </c>
      <c r="AF24" s="12" t="s">
        <v>1498</v>
      </c>
      <c r="AG24" s="12" t="n">
        <f aca="false">COUNTIF(Variants!$B:$B,A24)</f>
        <v>2</v>
      </c>
      <c r="AH24" s="12" t="s">
        <v>1120</v>
      </c>
    </row>
    <row r="25" customFormat="false" ht="15" hidden="false" customHeight="false" outlineLevel="0" collapsed="false">
      <c r="A25" s="12" t="s">
        <v>1502</v>
      </c>
      <c r="B25" s="12" t="s">
        <v>1503</v>
      </c>
      <c r="C25" s="12" t="s">
        <v>1134</v>
      </c>
      <c r="D25" s="12" t="s">
        <v>1135</v>
      </c>
      <c r="E25" s="12" t="s">
        <v>1134</v>
      </c>
      <c r="F25" s="12" t="s">
        <v>263</v>
      </c>
      <c r="G25" s="12" t="s">
        <v>285</v>
      </c>
      <c r="H25" s="12" t="s">
        <v>1493</v>
      </c>
      <c r="I25" s="12" t="s">
        <v>137</v>
      </c>
      <c r="J25" s="12" t="s">
        <v>1504</v>
      </c>
      <c r="K25" s="12" t="s">
        <v>695</v>
      </c>
      <c r="L25" s="12" t="s">
        <v>715</v>
      </c>
      <c r="M25" s="12" t="s">
        <v>757</v>
      </c>
      <c r="N25" s="12" t="s">
        <v>862</v>
      </c>
      <c r="O25" s="12"/>
      <c r="P25" s="12" t="s">
        <v>1494</v>
      </c>
      <c r="Q25" s="12"/>
      <c r="R25" s="12" t="s">
        <v>1495</v>
      </c>
      <c r="S25" s="12"/>
      <c r="T25" s="12"/>
      <c r="U25" s="12"/>
      <c r="V25" s="12" t="s">
        <v>911</v>
      </c>
      <c r="W25" s="12" t="s">
        <v>1111</v>
      </c>
      <c r="X25" s="12" t="s">
        <v>1111</v>
      </c>
      <c r="Y25" s="12" t="s">
        <v>1370</v>
      </c>
      <c r="Z25" s="12" t="s">
        <v>1505</v>
      </c>
      <c r="AA25" s="12"/>
      <c r="AB25" s="12"/>
      <c r="AC25" s="12"/>
      <c r="AD25" s="12" t="s">
        <v>1110</v>
      </c>
      <c r="AE25" s="12" t="s">
        <v>1497</v>
      </c>
      <c r="AF25" s="12" t="s">
        <v>1498</v>
      </c>
      <c r="AG25" s="12" t="n">
        <f aca="false">COUNTIF(Variants!$B:$B,A25)</f>
        <v>2</v>
      </c>
      <c r="AH25" s="12" t="s">
        <v>1120</v>
      </c>
    </row>
    <row r="26" customFormat="false" ht="15" hidden="false" customHeight="false" outlineLevel="0" collapsed="false">
      <c r="A26" s="12" t="s">
        <v>1506</v>
      </c>
      <c r="B26" s="12" t="s">
        <v>1507</v>
      </c>
      <c r="C26" s="12" t="s">
        <v>1131</v>
      </c>
      <c r="D26" s="12" t="s">
        <v>1132</v>
      </c>
      <c r="E26" s="12" t="s">
        <v>1131</v>
      </c>
      <c r="F26" s="12" t="s">
        <v>263</v>
      </c>
      <c r="G26" s="12" t="s">
        <v>292</v>
      </c>
      <c r="H26" s="12" t="s">
        <v>1508</v>
      </c>
      <c r="I26" s="12" t="s">
        <v>1509</v>
      </c>
      <c r="J26" s="12"/>
      <c r="K26" s="12"/>
      <c r="L26" s="12" t="s">
        <v>704</v>
      </c>
      <c r="M26" s="12" t="s">
        <v>793</v>
      </c>
      <c r="N26" s="12" t="s">
        <v>862</v>
      </c>
      <c r="O26" s="12"/>
      <c r="P26" s="12"/>
      <c r="Q26" s="12" t="n">
        <v>10</v>
      </c>
      <c r="R26" s="12"/>
      <c r="S26" s="12"/>
      <c r="T26" s="12"/>
      <c r="U26" s="12"/>
      <c r="V26" s="12" t="s">
        <v>264</v>
      </c>
      <c r="W26" s="12" t="s">
        <v>1111</v>
      </c>
      <c r="X26" s="12" t="s">
        <v>1111</v>
      </c>
      <c r="Y26" s="12" t="s">
        <v>1370</v>
      </c>
      <c r="Z26" s="12" t="s">
        <v>1510</v>
      </c>
      <c r="AA26" s="12"/>
      <c r="AB26" s="12"/>
      <c r="AC26" s="12"/>
      <c r="AD26" s="12" t="s">
        <v>1110</v>
      </c>
      <c r="AE26" s="12" t="s">
        <v>1511</v>
      </c>
      <c r="AF26" s="12" t="s">
        <v>1512</v>
      </c>
      <c r="AG26" s="12" t="n">
        <f aca="false">COUNTIF(Variants!$B:$B,A26)</f>
        <v>1</v>
      </c>
      <c r="AH26" s="12" t="s">
        <v>1120</v>
      </c>
    </row>
    <row r="27" customFormat="false" ht="15" hidden="false" customHeight="false" outlineLevel="0" collapsed="false">
      <c r="A27" s="12" t="s">
        <v>1513</v>
      </c>
      <c r="B27" s="12" t="s">
        <v>1514</v>
      </c>
      <c r="C27" s="12" t="s">
        <v>1131</v>
      </c>
      <c r="D27" s="12" t="s">
        <v>1132</v>
      </c>
      <c r="E27" s="12" t="s">
        <v>1131</v>
      </c>
      <c r="F27" s="12" t="s">
        <v>263</v>
      </c>
      <c r="G27" s="12" t="s">
        <v>292</v>
      </c>
      <c r="H27" s="12" t="s">
        <v>1508</v>
      </c>
      <c r="I27" s="12" t="s">
        <v>1509</v>
      </c>
      <c r="J27" s="12"/>
      <c r="K27" s="12"/>
      <c r="L27" s="12" t="s">
        <v>742</v>
      </c>
      <c r="M27" s="12" t="s">
        <v>793</v>
      </c>
      <c r="N27" s="12" t="s">
        <v>862</v>
      </c>
      <c r="O27" s="12"/>
      <c r="P27" s="12"/>
      <c r="Q27" s="12" t="n">
        <v>28</v>
      </c>
      <c r="R27" s="12"/>
      <c r="S27" s="12"/>
      <c r="T27" s="12"/>
      <c r="U27" s="12"/>
      <c r="V27" s="12" t="s">
        <v>264</v>
      </c>
      <c r="W27" s="12" t="s">
        <v>1111</v>
      </c>
      <c r="X27" s="12" t="s">
        <v>1111</v>
      </c>
      <c r="Y27" s="12" t="s">
        <v>1370</v>
      </c>
      <c r="Z27" s="12" t="s">
        <v>1515</v>
      </c>
      <c r="AA27" s="12"/>
      <c r="AB27" s="12"/>
      <c r="AC27" s="12"/>
      <c r="AD27" s="12" t="s">
        <v>1110</v>
      </c>
      <c r="AE27" s="12" t="s">
        <v>1516</v>
      </c>
      <c r="AF27" s="12" t="s">
        <v>1517</v>
      </c>
      <c r="AG27" s="12" t="n">
        <f aca="false">COUNTIF(Variants!$B:$B,A27)</f>
        <v>1</v>
      </c>
      <c r="AH27" s="12" t="s">
        <v>1120</v>
      </c>
    </row>
    <row r="28" customFormat="false" ht="15" hidden="false" customHeight="false" outlineLevel="0" collapsed="false">
      <c r="A28" s="12" t="s">
        <v>1518</v>
      </c>
      <c r="B28" s="12" t="s">
        <v>1519</v>
      </c>
      <c r="C28" s="12" t="s">
        <v>1131</v>
      </c>
      <c r="D28" s="12" t="s">
        <v>1132</v>
      </c>
      <c r="E28" s="12" t="s">
        <v>1131</v>
      </c>
      <c r="F28" s="12" t="s">
        <v>263</v>
      </c>
      <c r="G28" s="12" t="s">
        <v>292</v>
      </c>
      <c r="H28" s="12" t="s">
        <v>1508</v>
      </c>
      <c r="I28" s="12" t="s">
        <v>1520</v>
      </c>
      <c r="J28" s="12"/>
      <c r="K28" s="12"/>
      <c r="L28" s="12" t="s">
        <v>704</v>
      </c>
      <c r="M28" s="12" t="s">
        <v>793</v>
      </c>
      <c r="N28" s="12" t="s">
        <v>862</v>
      </c>
      <c r="O28" s="12"/>
      <c r="P28" s="12"/>
      <c r="Q28" s="12" t="n">
        <v>44</v>
      </c>
      <c r="R28" s="12"/>
      <c r="S28" s="12"/>
      <c r="T28" s="12"/>
      <c r="U28" s="12"/>
      <c r="V28" s="12" t="s">
        <v>264</v>
      </c>
      <c r="W28" s="12" t="s">
        <v>1111</v>
      </c>
      <c r="X28" s="12" t="s">
        <v>1111</v>
      </c>
      <c r="Y28" s="12" t="s">
        <v>1370</v>
      </c>
      <c r="Z28" s="12" t="s">
        <v>1521</v>
      </c>
      <c r="AA28" s="12"/>
      <c r="AB28" s="12"/>
      <c r="AC28" s="12"/>
      <c r="AD28" s="12" t="s">
        <v>1110</v>
      </c>
      <c r="AE28" s="12" t="s">
        <v>1522</v>
      </c>
      <c r="AF28" s="12" t="s">
        <v>1523</v>
      </c>
      <c r="AG28" s="12" t="n">
        <f aca="false">COUNTIF(Variants!$B:$B,A28)</f>
        <v>1</v>
      </c>
      <c r="AH28" s="12" t="s">
        <v>1120</v>
      </c>
    </row>
    <row r="29" customFormat="false" ht="15" hidden="false" customHeight="false" outlineLevel="0" collapsed="false">
      <c r="A29" s="12" t="s">
        <v>1524</v>
      </c>
      <c r="B29" s="12" t="s">
        <v>1525</v>
      </c>
      <c r="C29" s="12" t="s">
        <v>1131</v>
      </c>
      <c r="D29" s="12" t="s">
        <v>1132</v>
      </c>
      <c r="E29" s="12" t="s">
        <v>1131</v>
      </c>
      <c r="F29" s="12" t="s">
        <v>263</v>
      </c>
      <c r="G29" s="12" t="s">
        <v>292</v>
      </c>
      <c r="H29" s="12" t="s">
        <v>1508</v>
      </c>
      <c r="I29" s="12" t="s">
        <v>1526</v>
      </c>
      <c r="J29" s="12"/>
      <c r="K29" s="12"/>
      <c r="L29" s="12" t="s">
        <v>704</v>
      </c>
      <c r="M29" s="12" t="s">
        <v>793</v>
      </c>
      <c r="N29" s="12" t="s">
        <v>862</v>
      </c>
      <c r="O29" s="12"/>
      <c r="P29" s="12"/>
      <c r="Q29" s="12" t="n">
        <v>55</v>
      </c>
      <c r="R29" s="12"/>
      <c r="S29" s="12"/>
      <c r="T29" s="12"/>
      <c r="U29" s="12"/>
      <c r="V29" s="12" t="s">
        <v>264</v>
      </c>
      <c r="W29" s="12" t="s">
        <v>1111</v>
      </c>
      <c r="X29" s="12" t="s">
        <v>1111</v>
      </c>
      <c r="Y29" s="12" t="s">
        <v>1370</v>
      </c>
      <c r="Z29" s="12" t="s">
        <v>1527</v>
      </c>
      <c r="AA29" s="12"/>
      <c r="AB29" s="12"/>
      <c r="AC29" s="12"/>
      <c r="AD29" s="12" t="s">
        <v>1110</v>
      </c>
      <c r="AE29" s="12" t="s">
        <v>1528</v>
      </c>
      <c r="AF29" s="12" t="s">
        <v>1529</v>
      </c>
      <c r="AG29" s="12" t="n">
        <f aca="false">COUNTIF(Variants!$B:$B,A29)</f>
        <v>2</v>
      </c>
      <c r="AH29" s="12" t="s">
        <v>1120</v>
      </c>
    </row>
    <row r="30" customFormat="false" ht="15" hidden="false" customHeight="false" outlineLevel="0" collapsed="false">
      <c r="A30" s="12" t="s">
        <v>1530</v>
      </c>
      <c r="B30" s="12" t="s">
        <v>1531</v>
      </c>
      <c r="C30" s="12" t="s">
        <v>1131</v>
      </c>
      <c r="D30" s="12" t="s">
        <v>1132</v>
      </c>
      <c r="E30" s="12" t="s">
        <v>1131</v>
      </c>
      <c r="F30" s="12" t="s">
        <v>263</v>
      </c>
      <c r="G30" s="12" t="s">
        <v>292</v>
      </c>
      <c r="H30" s="12" t="s">
        <v>1508</v>
      </c>
      <c r="I30" s="12" t="s">
        <v>1532</v>
      </c>
      <c r="J30" s="12"/>
      <c r="K30" s="12"/>
      <c r="L30" s="12" t="s">
        <v>718</v>
      </c>
      <c r="M30" s="12" t="s">
        <v>793</v>
      </c>
      <c r="N30" s="12" t="s">
        <v>1480</v>
      </c>
      <c r="O30" s="12"/>
      <c r="P30" s="12"/>
      <c r="Q30" s="12"/>
      <c r="R30" s="12"/>
      <c r="S30" s="12"/>
      <c r="T30" s="12"/>
      <c r="U30" s="12"/>
      <c r="V30" s="12" t="s">
        <v>264</v>
      </c>
      <c r="W30" s="12" t="s">
        <v>1111</v>
      </c>
      <c r="X30" s="12" t="s">
        <v>1111</v>
      </c>
      <c r="Y30" s="12" t="s">
        <v>1370</v>
      </c>
      <c r="Z30" s="12" t="s">
        <v>1533</v>
      </c>
      <c r="AA30" s="12"/>
      <c r="AB30" s="12"/>
      <c r="AC30" s="12"/>
      <c r="AD30" s="12" t="s">
        <v>1110</v>
      </c>
      <c r="AE30" s="12" t="s">
        <v>1534</v>
      </c>
      <c r="AF30" s="12" t="s">
        <v>1535</v>
      </c>
      <c r="AG30" s="12" t="n">
        <f aca="false">COUNTIF(Variants!$B:$B,A30)</f>
        <v>1</v>
      </c>
      <c r="AH30" s="12" t="s">
        <v>1120</v>
      </c>
    </row>
    <row r="31" customFormat="false" ht="15" hidden="false" customHeight="false" outlineLevel="0" collapsed="false">
      <c r="A31" s="12" t="s">
        <v>1536</v>
      </c>
      <c r="B31" s="12" t="s">
        <v>1537</v>
      </c>
      <c r="C31" s="12" t="s">
        <v>1131</v>
      </c>
      <c r="D31" s="12" t="s">
        <v>1132</v>
      </c>
      <c r="E31" s="12" t="s">
        <v>1131</v>
      </c>
      <c r="F31" s="12" t="s">
        <v>263</v>
      </c>
      <c r="G31" s="12" t="s">
        <v>292</v>
      </c>
      <c r="H31" s="12" t="s">
        <v>1508</v>
      </c>
      <c r="I31" s="12" t="s">
        <v>1520</v>
      </c>
      <c r="J31" s="12"/>
      <c r="K31" s="12"/>
      <c r="L31" s="12" t="s">
        <v>715</v>
      </c>
      <c r="M31" s="12" t="s">
        <v>793</v>
      </c>
      <c r="N31" s="12" t="s">
        <v>862</v>
      </c>
      <c r="O31" s="12"/>
      <c r="P31" s="12"/>
      <c r="Q31" s="12"/>
      <c r="R31" s="12"/>
      <c r="S31" s="12"/>
      <c r="T31" s="12"/>
      <c r="U31" s="12"/>
      <c r="V31" s="12" t="s">
        <v>264</v>
      </c>
      <c r="W31" s="12" t="s">
        <v>1111</v>
      </c>
      <c r="X31" s="12" t="s">
        <v>1111</v>
      </c>
      <c r="Y31" s="12" t="s">
        <v>1370</v>
      </c>
      <c r="Z31" s="12" t="s">
        <v>1538</v>
      </c>
      <c r="AA31" s="12"/>
      <c r="AB31" s="12"/>
      <c r="AC31" s="12"/>
      <c r="AD31" s="12" t="s">
        <v>1539</v>
      </c>
      <c r="AE31" s="12" t="s">
        <v>1540</v>
      </c>
      <c r="AF31" s="12" t="s">
        <v>1541</v>
      </c>
      <c r="AG31" s="12" t="n">
        <f aca="false">COUNTIF(Variants!$B:$B,A31)</f>
        <v>1</v>
      </c>
      <c r="AH31" s="12" t="s">
        <v>1120</v>
      </c>
    </row>
    <row r="32" customFormat="false" ht="15" hidden="false" customHeight="false" outlineLevel="0" collapsed="false">
      <c r="A32" s="12" t="s">
        <v>1542</v>
      </c>
      <c r="B32" s="12" t="s">
        <v>1543</v>
      </c>
      <c r="C32" s="12" t="s">
        <v>1131</v>
      </c>
      <c r="D32" s="12" t="s">
        <v>1132</v>
      </c>
      <c r="E32" s="12" t="s">
        <v>1131</v>
      </c>
      <c r="F32" s="12" t="s">
        <v>263</v>
      </c>
      <c r="G32" s="12" t="s">
        <v>292</v>
      </c>
      <c r="H32" s="12" t="s">
        <v>1508</v>
      </c>
      <c r="I32" s="12" t="s">
        <v>1520</v>
      </c>
      <c r="J32" s="12"/>
      <c r="K32" s="12"/>
      <c r="L32" s="12" t="s">
        <v>742</v>
      </c>
      <c r="M32" s="12" t="s">
        <v>793</v>
      </c>
      <c r="N32" s="12" t="s">
        <v>862</v>
      </c>
      <c r="O32" s="12"/>
      <c r="P32" s="12"/>
      <c r="Q32" s="12" t="n">
        <v>8.5</v>
      </c>
      <c r="R32" s="12"/>
      <c r="S32" s="12"/>
      <c r="T32" s="12"/>
      <c r="U32" s="12"/>
      <c r="V32" s="12" t="s">
        <v>264</v>
      </c>
      <c r="W32" s="12" t="s">
        <v>1111</v>
      </c>
      <c r="X32" s="12" t="s">
        <v>1111</v>
      </c>
      <c r="Y32" s="12" t="s">
        <v>1370</v>
      </c>
      <c r="Z32" s="12" t="s">
        <v>1544</v>
      </c>
      <c r="AA32" s="12"/>
      <c r="AB32" s="12"/>
      <c r="AC32" s="12"/>
      <c r="AD32" s="12" t="s">
        <v>1110</v>
      </c>
      <c r="AE32" s="12" t="s">
        <v>1545</v>
      </c>
      <c r="AF32" s="12" t="s">
        <v>1546</v>
      </c>
      <c r="AG32" s="12" t="n">
        <f aca="false">COUNTIF(Variants!$B:$B,A32)</f>
        <v>1</v>
      </c>
      <c r="AH32" s="12" t="s">
        <v>1120</v>
      </c>
    </row>
    <row r="33" customFormat="false" ht="15" hidden="false" customHeight="false" outlineLevel="0" collapsed="false">
      <c r="A33" s="12" t="s">
        <v>1547</v>
      </c>
      <c r="B33" s="12" t="s">
        <v>1548</v>
      </c>
      <c r="C33" s="12" t="s">
        <v>1125</v>
      </c>
      <c r="D33" s="12" t="s">
        <v>1126</v>
      </c>
      <c r="E33" s="12" t="s">
        <v>1125</v>
      </c>
      <c r="F33" s="12" t="s">
        <v>263</v>
      </c>
      <c r="G33" s="12" t="s">
        <v>299</v>
      </c>
      <c r="H33" s="12" t="s">
        <v>1549</v>
      </c>
      <c r="I33" s="12" t="s">
        <v>1550</v>
      </c>
      <c r="J33" s="12"/>
      <c r="K33" s="12"/>
      <c r="L33" s="12" t="s">
        <v>745</v>
      </c>
      <c r="M33" s="12" t="s">
        <v>793</v>
      </c>
      <c r="N33" s="12" t="s">
        <v>805</v>
      </c>
      <c r="O33" s="12"/>
      <c r="P33" s="12"/>
      <c r="Q33" s="12"/>
      <c r="R33" s="12"/>
      <c r="S33" s="12"/>
      <c r="T33" s="12"/>
      <c r="U33" s="12"/>
      <c r="V33" s="12" t="s">
        <v>264</v>
      </c>
      <c r="W33" s="12" t="s">
        <v>1111</v>
      </c>
      <c r="X33" s="12" t="s">
        <v>1111</v>
      </c>
      <c r="Y33" s="12" t="s">
        <v>1551</v>
      </c>
      <c r="Z33" s="12" t="s">
        <v>1552</v>
      </c>
      <c r="AA33" s="12"/>
      <c r="AB33" s="12"/>
      <c r="AC33" s="12"/>
      <c r="AD33" s="12" t="s">
        <v>1110</v>
      </c>
      <c r="AE33" s="12" t="s">
        <v>1553</v>
      </c>
      <c r="AF33" s="12" t="s">
        <v>1554</v>
      </c>
      <c r="AG33" s="12" t="n">
        <f aca="false">COUNTIF(Variants!$B:$B,A33)</f>
        <v>1</v>
      </c>
      <c r="AH33" s="12" t="s">
        <v>1120</v>
      </c>
    </row>
    <row r="34" customFormat="false" ht="15" hidden="false" customHeight="false" outlineLevel="0" collapsed="false">
      <c r="A34" s="12" t="s">
        <v>1555</v>
      </c>
      <c r="B34" s="12" t="s">
        <v>1556</v>
      </c>
      <c r="C34" s="12" t="s">
        <v>1125</v>
      </c>
      <c r="D34" s="12" t="s">
        <v>1126</v>
      </c>
      <c r="E34" s="12" t="s">
        <v>1125</v>
      </c>
      <c r="F34" s="12" t="s">
        <v>263</v>
      </c>
      <c r="G34" s="12" t="s">
        <v>299</v>
      </c>
      <c r="H34" s="12" t="s">
        <v>1549</v>
      </c>
      <c r="I34" s="12" t="s">
        <v>1430</v>
      </c>
      <c r="J34" s="12"/>
      <c r="K34" s="12"/>
      <c r="L34" s="12" t="s">
        <v>745</v>
      </c>
      <c r="M34" s="12" t="s">
        <v>793</v>
      </c>
      <c r="N34" s="12" t="s">
        <v>805</v>
      </c>
      <c r="O34" s="12"/>
      <c r="P34" s="12"/>
      <c r="Q34" s="12"/>
      <c r="R34" s="12"/>
      <c r="S34" s="12"/>
      <c r="T34" s="12"/>
      <c r="U34" s="12"/>
      <c r="V34" s="12" t="s">
        <v>264</v>
      </c>
      <c r="W34" s="12" t="s">
        <v>1111</v>
      </c>
      <c r="X34" s="12" t="s">
        <v>1111</v>
      </c>
      <c r="Y34" s="12" t="s">
        <v>1557</v>
      </c>
      <c r="Z34" s="12" t="s">
        <v>1558</v>
      </c>
      <c r="AA34" s="12"/>
      <c r="AB34" s="12"/>
      <c r="AC34" s="12"/>
      <c r="AD34" s="12" t="s">
        <v>1110</v>
      </c>
      <c r="AE34" s="12" t="s">
        <v>1559</v>
      </c>
      <c r="AF34" s="12" t="s">
        <v>1560</v>
      </c>
      <c r="AG34" s="12" t="n">
        <f aca="false">COUNTIF(Variants!$B:$B,A34)</f>
        <v>1</v>
      </c>
      <c r="AH34" s="12" t="s">
        <v>1120</v>
      </c>
    </row>
    <row r="35" customFormat="false" ht="15" hidden="false" customHeight="false" outlineLevel="0" collapsed="false">
      <c r="A35" s="12" t="s">
        <v>1561</v>
      </c>
      <c r="B35" s="12" t="s">
        <v>1562</v>
      </c>
      <c r="C35" s="12" t="s">
        <v>1107</v>
      </c>
      <c r="D35" s="12" t="s">
        <v>1108</v>
      </c>
      <c r="E35" s="12" t="s">
        <v>1107</v>
      </c>
      <c r="F35" s="12" t="s">
        <v>304</v>
      </c>
      <c r="G35" s="12" t="s">
        <v>312</v>
      </c>
      <c r="H35" s="12" t="s">
        <v>1563</v>
      </c>
      <c r="I35" s="12" t="s">
        <v>99</v>
      </c>
      <c r="J35" s="12" t="s">
        <v>166</v>
      </c>
      <c r="K35" s="12" t="s">
        <v>1564</v>
      </c>
      <c r="L35" s="12" t="s">
        <v>715</v>
      </c>
      <c r="M35" s="12" t="s">
        <v>760</v>
      </c>
      <c r="N35" s="12" t="s">
        <v>1565</v>
      </c>
      <c r="O35" s="12"/>
      <c r="P35" s="12" t="s">
        <v>1566</v>
      </c>
      <c r="Q35" s="12"/>
      <c r="R35" s="12" t="s">
        <v>1567</v>
      </c>
      <c r="S35" s="12"/>
      <c r="T35" s="12"/>
      <c r="U35" s="12"/>
      <c r="V35" s="12" t="s">
        <v>911</v>
      </c>
      <c r="W35" s="12" t="s">
        <v>1111</v>
      </c>
      <c r="X35" s="12" t="s">
        <v>1111</v>
      </c>
      <c r="Y35" s="12" t="s">
        <v>1370</v>
      </c>
      <c r="Z35" s="12" t="s">
        <v>1568</v>
      </c>
      <c r="AA35" s="12"/>
      <c r="AB35" s="12"/>
      <c r="AC35" s="12"/>
      <c r="AD35" s="12" t="s">
        <v>1569</v>
      </c>
      <c r="AE35" s="12" t="s">
        <v>1570</v>
      </c>
      <c r="AF35" s="12" t="s">
        <v>1571</v>
      </c>
      <c r="AG35" s="12" t="n">
        <f aca="false">COUNTIF(Variants!$B:$B,A35)</f>
        <v>3</v>
      </c>
      <c r="AH35" s="12" t="s">
        <v>1120</v>
      </c>
    </row>
    <row r="36" customFormat="false" ht="15" hidden="false" customHeight="false" outlineLevel="0" collapsed="false">
      <c r="A36" s="12" t="s">
        <v>1572</v>
      </c>
      <c r="B36" s="12" t="s">
        <v>1573</v>
      </c>
      <c r="C36" s="12" t="s">
        <v>1107</v>
      </c>
      <c r="D36" s="12" t="s">
        <v>1108</v>
      </c>
      <c r="E36" s="12" t="s">
        <v>1107</v>
      </c>
      <c r="F36" s="12" t="s">
        <v>304</v>
      </c>
      <c r="G36" s="12" t="s">
        <v>312</v>
      </c>
      <c r="H36" s="12" t="s">
        <v>1563</v>
      </c>
      <c r="I36" s="12" t="s">
        <v>93</v>
      </c>
      <c r="J36" s="12" t="s">
        <v>160</v>
      </c>
      <c r="K36" s="12" t="s">
        <v>1564</v>
      </c>
      <c r="L36" s="12" t="s">
        <v>715</v>
      </c>
      <c r="M36" s="12" t="s">
        <v>760</v>
      </c>
      <c r="N36" s="12" t="s">
        <v>1574</v>
      </c>
      <c r="O36" s="12"/>
      <c r="P36" s="12" t="s">
        <v>1575</v>
      </c>
      <c r="Q36" s="12"/>
      <c r="R36" s="12" t="s">
        <v>1567</v>
      </c>
      <c r="S36" s="12"/>
      <c r="T36" s="12"/>
      <c r="U36" s="12"/>
      <c r="V36" s="12" t="s">
        <v>911</v>
      </c>
      <c r="W36" s="12" t="s">
        <v>1111</v>
      </c>
      <c r="X36" s="12" t="s">
        <v>1111</v>
      </c>
      <c r="Y36" s="12" t="s">
        <v>1370</v>
      </c>
      <c r="Z36" s="12" t="s">
        <v>1576</v>
      </c>
      <c r="AA36" s="12"/>
      <c r="AB36" s="12"/>
      <c r="AC36" s="12"/>
      <c r="AD36" s="12" t="s">
        <v>1569</v>
      </c>
      <c r="AE36" s="12" t="s">
        <v>1577</v>
      </c>
      <c r="AF36" s="12" t="s">
        <v>1578</v>
      </c>
      <c r="AG36" s="12" t="n">
        <f aca="false">COUNTIF(Variants!$B:$B,A36)</f>
        <v>3</v>
      </c>
      <c r="AH36" s="12" t="s">
        <v>1120</v>
      </c>
    </row>
    <row r="37" customFormat="false" ht="15" hidden="false" customHeight="false" outlineLevel="0" collapsed="false">
      <c r="A37" s="12" t="s">
        <v>1579</v>
      </c>
      <c r="B37" s="12" t="s">
        <v>1580</v>
      </c>
      <c r="C37" s="12" t="s">
        <v>1137</v>
      </c>
      <c r="D37" s="12" t="s">
        <v>1138</v>
      </c>
      <c r="E37" s="12" t="s">
        <v>1137</v>
      </c>
      <c r="F37" s="12" t="s">
        <v>304</v>
      </c>
      <c r="G37" s="12" t="s">
        <v>312</v>
      </c>
      <c r="H37" s="12" t="s">
        <v>1563</v>
      </c>
      <c r="I37" s="12" t="s">
        <v>1581</v>
      </c>
      <c r="J37" s="12" t="s">
        <v>160</v>
      </c>
      <c r="K37" s="12" t="s">
        <v>701</v>
      </c>
      <c r="L37" s="12" t="s">
        <v>715</v>
      </c>
      <c r="M37" s="12" t="s">
        <v>760</v>
      </c>
      <c r="N37" s="12" t="s">
        <v>1582</v>
      </c>
      <c r="O37" s="12"/>
      <c r="P37" s="12" t="s">
        <v>1583</v>
      </c>
      <c r="Q37" s="12"/>
      <c r="R37" s="12" t="s">
        <v>1584</v>
      </c>
      <c r="S37" s="12"/>
      <c r="T37" s="12"/>
      <c r="U37" s="12"/>
      <c r="V37" s="12" t="s">
        <v>911</v>
      </c>
      <c r="W37" s="12" t="s">
        <v>1111</v>
      </c>
      <c r="X37" s="12" t="s">
        <v>1111</v>
      </c>
      <c r="Y37" s="12" t="s">
        <v>1370</v>
      </c>
      <c r="Z37" s="12" t="s">
        <v>1585</v>
      </c>
      <c r="AA37" s="12"/>
      <c r="AB37" s="12"/>
      <c r="AC37" s="12"/>
      <c r="AD37" s="12" t="s">
        <v>1140</v>
      </c>
      <c r="AE37" s="12" t="s">
        <v>1586</v>
      </c>
      <c r="AF37" s="12" t="s">
        <v>1587</v>
      </c>
      <c r="AG37" s="12" t="n">
        <f aca="false">COUNTIF(Variants!$B:$B,A37)</f>
        <v>2</v>
      </c>
      <c r="AH37" s="12" t="s">
        <v>1120</v>
      </c>
    </row>
    <row r="38" customFormat="false" ht="15" hidden="false" customHeight="false" outlineLevel="0" collapsed="false">
      <c r="A38" s="12" t="s">
        <v>1588</v>
      </c>
      <c r="B38" s="12" t="s">
        <v>1589</v>
      </c>
      <c r="C38" s="12" t="s">
        <v>1141</v>
      </c>
      <c r="D38" s="12" t="s">
        <v>1142</v>
      </c>
      <c r="E38" s="12" t="s">
        <v>1141</v>
      </c>
      <c r="F38" s="12" t="s">
        <v>304</v>
      </c>
      <c r="G38" s="12" t="s">
        <v>312</v>
      </c>
      <c r="H38" s="12" t="s">
        <v>1563</v>
      </c>
      <c r="I38" s="12" t="s">
        <v>1590</v>
      </c>
      <c r="J38" s="12" t="s">
        <v>160</v>
      </c>
      <c r="K38" s="12" t="s">
        <v>701</v>
      </c>
      <c r="L38" s="12" t="s">
        <v>727</v>
      </c>
      <c r="M38" s="12" t="s">
        <v>766</v>
      </c>
      <c r="N38" s="12" t="s">
        <v>817</v>
      </c>
      <c r="O38" s="12"/>
      <c r="P38" s="12" t="s">
        <v>1591</v>
      </c>
      <c r="Q38" s="12"/>
      <c r="R38" s="12" t="s">
        <v>1584</v>
      </c>
      <c r="S38" s="12"/>
      <c r="T38" s="12"/>
      <c r="U38" s="12"/>
      <c r="V38" s="12" t="s">
        <v>914</v>
      </c>
      <c r="W38" s="12" t="s">
        <v>1111</v>
      </c>
      <c r="X38" s="12" t="s">
        <v>1111</v>
      </c>
      <c r="Y38" s="12" t="s">
        <v>1370</v>
      </c>
      <c r="Z38" s="12" t="s">
        <v>1592</v>
      </c>
      <c r="AA38" s="12"/>
      <c r="AB38" s="12"/>
      <c r="AC38" s="12"/>
      <c r="AD38" s="12" t="s">
        <v>1144</v>
      </c>
      <c r="AE38" s="12" t="s">
        <v>1593</v>
      </c>
      <c r="AF38" s="12" t="s">
        <v>1594</v>
      </c>
      <c r="AG38" s="12" t="n">
        <f aca="false">COUNTIF(Variants!$B:$B,A38)</f>
        <v>1</v>
      </c>
      <c r="AH38" s="12" t="s">
        <v>1120</v>
      </c>
    </row>
    <row r="39" customFormat="false" ht="15" hidden="false" customHeight="false" outlineLevel="0" collapsed="false">
      <c r="A39" s="12" t="s">
        <v>1595</v>
      </c>
      <c r="B39" s="12" t="s">
        <v>1596</v>
      </c>
      <c r="C39" s="12" t="s">
        <v>1137</v>
      </c>
      <c r="D39" s="12" t="s">
        <v>1138</v>
      </c>
      <c r="E39" s="12" t="s">
        <v>1137</v>
      </c>
      <c r="F39" s="12" t="s">
        <v>304</v>
      </c>
      <c r="G39" s="12" t="s">
        <v>339</v>
      </c>
      <c r="H39" s="12" t="s">
        <v>1597</v>
      </c>
      <c r="I39" s="12" t="s">
        <v>99</v>
      </c>
      <c r="J39" s="12" t="s">
        <v>179</v>
      </c>
      <c r="K39" s="12" t="s">
        <v>679</v>
      </c>
      <c r="L39" s="12" t="s">
        <v>721</v>
      </c>
      <c r="M39" s="12" t="s">
        <v>760</v>
      </c>
      <c r="N39" s="12" t="s">
        <v>802</v>
      </c>
      <c r="O39" s="12"/>
      <c r="P39" s="12" t="s">
        <v>1598</v>
      </c>
      <c r="Q39" s="12"/>
      <c r="R39" s="12" t="s">
        <v>1584</v>
      </c>
      <c r="S39" s="12"/>
      <c r="T39" s="12"/>
      <c r="U39" s="12"/>
      <c r="V39" s="12" t="s">
        <v>911</v>
      </c>
      <c r="W39" s="12" t="s">
        <v>1111</v>
      </c>
      <c r="X39" s="12" t="s">
        <v>1111</v>
      </c>
      <c r="Y39" s="12" t="s">
        <v>1370</v>
      </c>
      <c r="Z39" s="12" t="s">
        <v>1599</v>
      </c>
      <c r="AA39" s="12"/>
      <c r="AB39" s="12"/>
      <c r="AC39" s="12"/>
      <c r="AD39" s="12" t="s">
        <v>1140</v>
      </c>
      <c r="AE39" s="12" t="s">
        <v>1600</v>
      </c>
      <c r="AF39" s="12" t="s">
        <v>1601</v>
      </c>
      <c r="AG39" s="12" t="n">
        <f aca="false">COUNTIF(Variants!$B:$B,A39)</f>
        <v>2</v>
      </c>
      <c r="AH39" s="12" t="s">
        <v>1120</v>
      </c>
    </row>
    <row r="40" customFormat="false" ht="15" hidden="false" customHeight="false" outlineLevel="0" collapsed="false">
      <c r="A40" s="12" t="s">
        <v>1602</v>
      </c>
      <c r="B40" s="12" t="s">
        <v>1603</v>
      </c>
      <c r="C40" s="12" t="s">
        <v>1107</v>
      </c>
      <c r="D40" s="12" t="s">
        <v>1108</v>
      </c>
      <c r="E40" s="12" t="s">
        <v>1107</v>
      </c>
      <c r="F40" s="12" t="s">
        <v>304</v>
      </c>
      <c r="G40" s="12" t="s">
        <v>318</v>
      </c>
      <c r="H40" s="12" t="s">
        <v>1604</v>
      </c>
      <c r="I40" s="12" t="s">
        <v>93</v>
      </c>
      <c r="J40" s="12" t="s">
        <v>160</v>
      </c>
      <c r="K40" s="12" t="s">
        <v>1564</v>
      </c>
      <c r="L40" s="12" t="s">
        <v>715</v>
      </c>
      <c r="M40" s="12" t="s">
        <v>760</v>
      </c>
      <c r="N40" s="12" t="s">
        <v>1605</v>
      </c>
      <c r="O40" s="12"/>
      <c r="P40" s="12" t="s">
        <v>1606</v>
      </c>
      <c r="Q40" s="12"/>
      <c r="R40" s="12" t="s">
        <v>1567</v>
      </c>
      <c r="S40" s="12"/>
      <c r="T40" s="12"/>
      <c r="U40" s="12"/>
      <c r="V40" s="12" t="s">
        <v>911</v>
      </c>
      <c r="W40" s="12" t="s">
        <v>1111</v>
      </c>
      <c r="X40" s="12" t="s">
        <v>1111</v>
      </c>
      <c r="Y40" s="12" t="s">
        <v>1370</v>
      </c>
      <c r="Z40" s="12" t="s">
        <v>1607</v>
      </c>
      <c r="AA40" s="12"/>
      <c r="AB40" s="12"/>
      <c r="AC40" s="12"/>
      <c r="AD40" s="12" t="s">
        <v>1569</v>
      </c>
      <c r="AE40" s="12" t="s">
        <v>1608</v>
      </c>
      <c r="AF40" s="12" t="s">
        <v>1609</v>
      </c>
      <c r="AG40" s="12" t="n">
        <f aca="false">COUNTIF(Variants!$B:$B,A40)</f>
        <v>3</v>
      </c>
      <c r="AH40" s="12" t="s">
        <v>1120</v>
      </c>
    </row>
    <row r="41" customFormat="false" ht="15" hidden="false" customHeight="false" outlineLevel="0" collapsed="false">
      <c r="A41" s="12" t="s">
        <v>1610</v>
      </c>
      <c r="B41" s="12" t="s">
        <v>1611</v>
      </c>
      <c r="C41" s="12" t="s">
        <v>1137</v>
      </c>
      <c r="D41" s="12" t="s">
        <v>1138</v>
      </c>
      <c r="E41" s="12" t="s">
        <v>1137</v>
      </c>
      <c r="F41" s="12" t="s">
        <v>304</v>
      </c>
      <c r="G41" s="12" t="s">
        <v>318</v>
      </c>
      <c r="H41" s="12" t="s">
        <v>1604</v>
      </c>
      <c r="I41" s="12" t="s">
        <v>1612</v>
      </c>
      <c r="J41" s="12" t="s">
        <v>1613</v>
      </c>
      <c r="K41" s="12" t="s">
        <v>701</v>
      </c>
      <c r="L41" s="12" t="s">
        <v>715</v>
      </c>
      <c r="M41" s="12" t="s">
        <v>763</v>
      </c>
      <c r="N41" s="12" t="s">
        <v>1614</v>
      </c>
      <c r="O41" s="12"/>
      <c r="P41" s="12" t="s">
        <v>1615</v>
      </c>
      <c r="Q41" s="12"/>
      <c r="R41" s="12" t="s">
        <v>1584</v>
      </c>
      <c r="S41" s="12"/>
      <c r="T41" s="12"/>
      <c r="U41" s="12"/>
      <c r="V41" s="12" t="s">
        <v>911</v>
      </c>
      <c r="W41" s="12" t="s">
        <v>1111</v>
      </c>
      <c r="X41" s="12" t="s">
        <v>1111</v>
      </c>
      <c r="Y41" s="12" t="s">
        <v>1370</v>
      </c>
      <c r="Z41" s="12" t="s">
        <v>1616</v>
      </c>
      <c r="AA41" s="12"/>
      <c r="AB41" s="12"/>
      <c r="AC41" s="12"/>
      <c r="AD41" s="12" t="s">
        <v>1140</v>
      </c>
      <c r="AE41" s="12" t="s">
        <v>1617</v>
      </c>
      <c r="AF41" s="12" t="s">
        <v>1618</v>
      </c>
      <c r="AG41" s="12" t="n">
        <f aca="false">COUNTIF(Variants!$B:$B,A41)</f>
        <v>1</v>
      </c>
      <c r="AH41" s="12" t="s">
        <v>1120</v>
      </c>
    </row>
    <row r="42" customFormat="false" ht="15" hidden="false" customHeight="false" outlineLevel="0" collapsed="false">
      <c r="A42" s="12" t="s">
        <v>1619</v>
      </c>
      <c r="B42" s="12" t="s">
        <v>1620</v>
      </c>
      <c r="C42" s="12" t="s">
        <v>1125</v>
      </c>
      <c r="D42" s="12" t="s">
        <v>1126</v>
      </c>
      <c r="E42" s="12" t="s">
        <v>1125</v>
      </c>
      <c r="F42" s="12" t="s">
        <v>304</v>
      </c>
      <c r="G42" s="12" t="s">
        <v>323</v>
      </c>
      <c r="H42" s="12" t="s">
        <v>1621</v>
      </c>
      <c r="I42" s="12" t="s">
        <v>1437</v>
      </c>
      <c r="J42" s="12" t="s">
        <v>160</v>
      </c>
      <c r="K42" s="12" t="s">
        <v>701</v>
      </c>
      <c r="L42" s="12" t="s">
        <v>733</v>
      </c>
      <c r="M42" s="12" t="s">
        <v>787</v>
      </c>
      <c r="N42" s="12" t="s">
        <v>799</v>
      </c>
      <c r="O42" s="12"/>
      <c r="P42" s="12" t="s">
        <v>1622</v>
      </c>
      <c r="Q42" s="12"/>
      <c r="R42" s="12"/>
      <c r="S42" s="12"/>
      <c r="T42" s="12"/>
      <c r="U42" s="12"/>
      <c r="V42" s="12" t="s">
        <v>911</v>
      </c>
      <c r="W42" s="12" t="s">
        <v>1111</v>
      </c>
      <c r="X42" s="12" t="s">
        <v>1111</v>
      </c>
      <c r="Y42" s="12" t="s">
        <v>1370</v>
      </c>
      <c r="Z42" s="12" t="s">
        <v>1623</v>
      </c>
      <c r="AA42" s="12"/>
      <c r="AB42" s="12"/>
      <c r="AC42" s="12"/>
      <c r="AD42" s="12" t="s">
        <v>1110</v>
      </c>
      <c r="AE42" s="12" t="s">
        <v>1624</v>
      </c>
      <c r="AF42" s="12" t="s">
        <v>1625</v>
      </c>
      <c r="AG42" s="12" t="n">
        <f aca="false">COUNTIF(Variants!$B:$B,A42)</f>
        <v>1</v>
      </c>
      <c r="AH42" s="12" t="s">
        <v>1120</v>
      </c>
    </row>
    <row r="43" customFormat="false" ht="15" hidden="false" customHeight="false" outlineLevel="0" collapsed="false">
      <c r="A43" s="12" t="s">
        <v>1626</v>
      </c>
      <c r="B43" s="12" t="s">
        <v>1627</v>
      </c>
      <c r="C43" s="12" t="s">
        <v>1125</v>
      </c>
      <c r="D43" s="12" t="s">
        <v>1126</v>
      </c>
      <c r="E43" s="12" t="s">
        <v>1125</v>
      </c>
      <c r="F43" s="12" t="s">
        <v>304</v>
      </c>
      <c r="G43" s="12" t="s">
        <v>323</v>
      </c>
      <c r="H43" s="12" t="s">
        <v>1621</v>
      </c>
      <c r="I43" s="12" t="s">
        <v>108</v>
      </c>
      <c r="J43" s="12" t="s">
        <v>160</v>
      </c>
      <c r="K43" s="12" t="s">
        <v>1431</v>
      </c>
      <c r="L43" s="12" t="s">
        <v>733</v>
      </c>
      <c r="M43" s="12" t="s">
        <v>787</v>
      </c>
      <c r="N43" s="12" t="s">
        <v>1628</v>
      </c>
      <c r="O43" s="12"/>
      <c r="P43" s="12" t="s">
        <v>1622</v>
      </c>
      <c r="Q43" s="12"/>
      <c r="R43" s="12"/>
      <c r="S43" s="12"/>
      <c r="T43" s="12"/>
      <c r="U43" s="12"/>
      <c r="V43" s="12" t="s">
        <v>911</v>
      </c>
      <c r="W43" s="12" t="s">
        <v>1111</v>
      </c>
      <c r="X43" s="12" t="s">
        <v>1111</v>
      </c>
      <c r="Y43" s="12" t="s">
        <v>1370</v>
      </c>
      <c r="Z43" s="12" t="s">
        <v>1629</v>
      </c>
      <c r="AA43" s="12"/>
      <c r="AB43" s="12"/>
      <c r="AC43" s="12"/>
      <c r="AD43" s="12" t="s">
        <v>1110</v>
      </c>
      <c r="AE43" s="12" t="s">
        <v>1630</v>
      </c>
      <c r="AF43" s="12" t="s">
        <v>1631</v>
      </c>
      <c r="AG43" s="12" t="n">
        <f aca="false">COUNTIF(Variants!$B:$B,A43)</f>
        <v>1</v>
      </c>
      <c r="AH43" s="12" t="s">
        <v>1120</v>
      </c>
    </row>
    <row r="44" customFormat="false" ht="15" hidden="false" customHeight="false" outlineLevel="0" collapsed="false">
      <c r="A44" s="12" t="s">
        <v>1632</v>
      </c>
      <c r="B44" s="12" t="s">
        <v>1633</v>
      </c>
      <c r="C44" s="12" t="s">
        <v>1134</v>
      </c>
      <c r="D44" s="12" t="s">
        <v>1135</v>
      </c>
      <c r="E44" s="12" t="s">
        <v>1134</v>
      </c>
      <c r="F44" s="12" t="s">
        <v>304</v>
      </c>
      <c r="G44" s="12" t="s">
        <v>323</v>
      </c>
      <c r="H44" s="12" t="s">
        <v>1621</v>
      </c>
      <c r="I44" s="12" t="s">
        <v>113</v>
      </c>
      <c r="J44" s="12" t="s">
        <v>1634</v>
      </c>
      <c r="K44" s="12" t="s">
        <v>686</v>
      </c>
      <c r="L44" s="12" t="s">
        <v>715</v>
      </c>
      <c r="M44" s="12" t="s">
        <v>757</v>
      </c>
      <c r="N44" s="12" t="s">
        <v>805</v>
      </c>
      <c r="O44" s="12"/>
      <c r="P44" s="12" t="s">
        <v>1635</v>
      </c>
      <c r="Q44" s="12"/>
      <c r="R44" s="12" t="s">
        <v>1584</v>
      </c>
      <c r="S44" s="12"/>
      <c r="T44" s="12"/>
      <c r="U44" s="12"/>
      <c r="V44" s="12" t="s">
        <v>911</v>
      </c>
      <c r="W44" s="12" t="s">
        <v>1111</v>
      </c>
      <c r="X44" s="12" t="s">
        <v>1111</v>
      </c>
      <c r="Y44" s="12" t="s">
        <v>1370</v>
      </c>
      <c r="Z44" s="12" t="s">
        <v>1636</v>
      </c>
      <c r="AA44" s="12"/>
      <c r="AB44" s="12"/>
      <c r="AC44" s="12"/>
      <c r="AD44" s="12" t="s">
        <v>1110</v>
      </c>
      <c r="AE44" s="12" t="s">
        <v>1637</v>
      </c>
      <c r="AF44" s="12" t="s">
        <v>1638</v>
      </c>
      <c r="AG44" s="12" t="n">
        <f aca="false">COUNTIF(Variants!$B:$B,A44)</f>
        <v>2</v>
      </c>
      <c r="AH44" s="12" t="s">
        <v>1120</v>
      </c>
    </row>
    <row r="45" customFormat="false" ht="15" hidden="false" customHeight="false" outlineLevel="0" collapsed="false">
      <c r="A45" s="12" t="s">
        <v>1639</v>
      </c>
      <c r="B45" s="12" t="s">
        <v>1640</v>
      </c>
      <c r="C45" s="12" t="s">
        <v>1134</v>
      </c>
      <c r="D45" s="12" t="s">
        <v>1135</v>
      </c>
      <c r="E45" s="12" t="s">
        <v>1134</v>
      </c>
      <c r="F45" s="12" t="s">
        <v>304</v>
      </c>
      <c r="G45" s="12" t="s">
        <v>329</v>
      </c>
      <c r="H45" s="12" t="s">
        <v>1641</v>
      </c>
      <c r="I45" s="12" t="s">
        <v>93</v>
      </c>
      <c r="J45" s="12" t="s">
        <v>160</v>
      </c>
      <c r="K45" s="12" t="s">
        <v>1564</v>
      </c>
      <c r="L45" s="12" t="s">
        <v>715</v>
      </c>
      <c r="M45" s="12" t="s">
        <v>760</v>
      </c>
      <c r="N45" s="12" t="s">
        <v>820</v>
      </c>
      <c r="O45" s="12"/>
      <c r="P45" s="12" t="s">
        <v>1642</v>
      </c>
      <c r="Q45" s="12"/>
      <c r="R45" s="12" t="s">
        <v>1584</v>
      </c>
      <c r="S45" s="12"/>
      <c r="T45" s="12"/>
      <c r="U45" s="12"/>
      <c r="V45" s="12" t="s">
        <v>911</v>
      </c>
      <c r="W45" s="12" t="s">
        <v>1111</v>
      </c>
      <c r="X45" s="12" t="s">
        <v>1111</v>
      </c>
      <c r="Y45" s="12" t="s">
        <v>1370</v>
      </c>
      <c r="Z45" s="12" t="s">
        <v>1643</v>
      </c>
      <c r="AA45" s="12"/>
      <c r="AB45" s="12"/>
      <c r="AC45" s="12"/>
      <c r="AD45" s="12" t="s">
        <v>1110</v>
      </c>
      <c r="AE45" s="12" t="s">
        <v>1644</v>
      </c>
      <c r="AF45" s="12" t="s">
        <v>1645</v>
      </c>
      <c r="AG45" s="12" t="n">
        <f aca="false">COUNTIF(Variants!$B:$B,A45)</f>
        <v>2</v>
      </c>
      <c r="AH45" s="12" t="s">
        <v>1120</v>
      </c>
    </row>
    <row r="46" customFormat="false" ht="15" hidden="false" customHeight="false" outlineLevel="0" collapsed="false">
      <c r="A46" s="12" t="s">
        <v>1646</v>
      </c>
      <c r="B46" s="12" t="s">
        <v>1647</v>
      </c>
      <c r="C46" s="12" t="s">
        <v>1134</v>
      </c>
      <c r="D46" s="12" t="s">
        <v>1135</v>
      </c>
      <c r="E46" s="12" t="s">
        <v>1134</v>
      </c>
      <c r="F46" s="12" t="s">
        <v>304</v>
      </c>
      <c r="G46" s="12" t="s">
        <v>329</v>
      </c>
      <c r="H46" s="12" t="s">
        <v>1641</v>
      </c>
      <c r="I46" s="12" t="s">
        <v>1648</v>
      </c>
      <c r="J46" s="12" t="s">
        <v>160</v>
      </c>
      <c r="K46" s="12" t="s">
        <v>701</v>
      </c>
      <c r="L46" s="12" t="s">
        <v>718</v>
      </c>
      <c r="M46" s="12" t="s">
        <v>757</v>
      </c>
      <c r="N46" s="12" t="s">
        <v>1649</v>
      </c>
      <c r="O46" s="12"/>
      <c r="P46" s="12" t="s">
        <v>1650</v>
      </c>
      <c r="Q46" s="12"/>
      <c r="R46" s="12" t="s">
        <v>1584</v>
      </c>
      <c r="S46" s="12"/>
      <c r="T46" s="12"/>
      <c r="U46" s="12"/>
      <c r="V46" s="12" t="s">
        <v>911</v>
      </c>
      <c r="W46" s="12" t="s">
        <v>1111</v>
      </c>
      <c r="X46" s="12" t="s">
        <v>1111</v>
      </c>
      <c r="Y46" s="12" t="s">
        <v>1370</v>
      </c>
      <c r="Z46" s="12" t="s">
        <v>1651</v>
      </c>
      <c r="AA46" s="12"/>
      <c r="AB46" s="12"/>
      <c r="AC46" s="12"/>
      <c r="AD46" s="12" t="s">
        <v>1539</v>
      </c>
      <c r="AE46" s="12" t="s">
        <v>1652</v>
      </c>
      <c r="AF46" s="12" t="s">
        <v>1653</v>
      </c>
      <c r="AG46" s="12" t="n">
        <f aca="false">COUNTIF(Variants!$B:$B,A46)</f>
        <v>1</v>
      </c>
      <c r="AH46" s="12" t="s">
        <v>1120</v>
      </c>
    </row>
    <row r="47" customFormat="false" ht="15" hidden="false" customHeight="false" outlineLevel="0" collapsed="false">
      <c r="A47" s="12" t="s">
        <v>1654</v>
      </c>
      <c r="B47" s="12" t="s">
        <v>1655</v>
      </c>
      <c r="C47" s="12" t="s">
        <v>1134</v>
      </c>
      <c r="D47" s="12" t="s">
        <v>1135</v>
      </c>
      <c r="E47" s="12" t="s">
        <v>1134</v>
      </c>
      <c r="F47" s="12" t="s">
        <v>304</v>
      </c>
      <c r="G47" s="12" t="s">
        <v>334</v>
      </c>
      <c r="H47" s="12" t="s">
        <v>1656</v>
      </c>
      <c r="I47" s="12" t="s">
        <v>1581</v>
      </c>
      <c r="J47" s="12" t="s">
        <v>160</v>
      </c>
      <c r="K47" s="12" t="s">
        <v>701</v>
      </c>
      <c r="L47" s="12" t="s">
        <v>715</v>
      </c>
      <c r="M47" s="12" t="s">
        <v>757</v>
      </c>
      <c r="N47" s="12" t="s">
        <v>823</v>
      </c>
      <c r="O47" s="12"/>
      <c r="P47" s="12" t="s">
        <v>1657</v>
      </c>
      <c r="Q47" s="12"/>
      <c r="R47" s="12" t="s">
        <v>1584</v>
      </c>
      <c r="S47" s="12"/>
      <c r="T47" s="12"/>
      <c r="U47" s="12"/>
      <c r="V47" s="12" t="s">
        <v>911</v>
      </c>
      <c r="W47" s="12" t="s">
        <v>1111</v>
      </c>
      <c r="X47" s="12" t="s">
        <v>1111</v>
      </c>
      <c r="Y47" s="12" t="s">
        <v>1370</v>
      </c>
      <c r="Z47" s="12" t="s">
        <v>1658</v>
      </c>
      <c r="AA47" s="12"/>
      <c r="AB47" s="12"/>
      <c r="AC47" s="12"/>
      <c r="AD47" s="12" t="s">
        <v>1110</v>
      </c>
      <c r="AE47" s="12" t="s">
        <v>1659</v>
      </c>
      <c r="AF47" s="12" t="s">
        <v>1660</v>
      </c>
      <c r="AG47" s="12" t="n">
        <f aca="false">COUNTIF(Variants!$B:$B,A47)</f>
        <v>2</v>
      </c>
      <c r="AH47" s="12" t="s">
        <v>1120</v>
      </c>
    </row>
    <row r="48" customFormat="false" ht="15" hidden="false" customHeight="false" outlineLevel="0" collapsed="false">
      <c r="A48" s="12" t="s">
        <v>1661</v>
      </c>
      <c r="B48" s="12" t="s">
        <v>1662</v>
      </c>
      <c r="C48" s="12" t="s">
        <v>1137</v>
      </c>
      <c r="D48" s="12" t="s">
        <v>1138</v>
      </c>
      <c r="E48" s="12" t="s">
        <v>1137</v>
      </c>
      <c r="F48" s="12" t="s">
        <v>304</v>
      </c>
      <c r="G48" s="12" t="s">
        <v>339</v>
      </c>
      <c r="H48" s="12" t="s">
        <v>1597</v>
      </c>
      <c r="I48" s="12" t="s">
        <v>1648</v>
      </c>
      <c r="J48" s="12" t="s">
        <v>160</v>
      </c>
      <c r="K48" s="12" t="s">
        <v>701</v>
      </c>
      <c r="L48" s="12" t="s">
        <v>721</v>
      </c>
      <c r="M48" s="12" t="s">
        <v>760</v>
      </c>
      <c r="N48" s="12" t="s">
        <v>1663</v>
      </c>
      <c r="O48" s="12"/>
      <c r="P48" s="12" t="s">
        <v>1664</v>
      </c>
      <c r="Q48" s="12"/>
      <c r="R48" s="12" t="s">
        <v>1584</v>
      </c>
      <c r="S48" s="12"/>
      <c r="T48" s="12"/>
      <c r="U48" s="12"/>
      <c r="V48" s="12" t="s">
        <v>911</v>
      </c>
      <c r="W48" s="12" t="s">
        <v>1111</v>
      </c>
      <c r="X48" s="12" t="s">
        <v>1111</v>
      </c>
      <c r="Y48" s="12" t="s">
        <v>1370</v>
      </c>
      <c r="Z48" s="12" t="s">
        <v>1665</v>
      </c>
      <c r="AA48" s="12"/>
      <c r="AB48" s="12"/>
      <c r="AC48" s="12"/>
      <c r="AD48" s="12" t="s">
        <v>1140</v>
      </c>
      <c r="AE48" s="12" t="s">
        <v>1666</v>
      </c>
      <c r="AF48" s="12" t="s">
        <v>1667</v>
      </c>
      <c r="AG48" s="12" t="n">
        <f aca="false">COUNTIF(Variants!$B:$B,A48)</f>
        <v>2</v>
      </c>
      <c r="AH48" s="12" t="s">
        <v>1120</v>
      </c>
    </row>
    <row r="49" customFormat="false" ht="15" hidden="false" customHeight="false" outlineLevel="0" collapsed="false">
      <c r="A49" s="12" t="s">
        <v>1668</v>
      </c>
      <c r="B49" s="12" t="s">
        <v>1669</v>
      </c>
      <c r="C49" s="12" t="s">
        <v>1141</v>
      </c>
      <c r="D49" s="12" t="s">
        <v>1142</v>
      </c>
      <c r="E49" s="12" t="s">
        <v>1141</v>
      </c>
      <c r="F49" s="12" t="s">
        <v>344</v>
      </c>
      <c r="G49" s="12" t="s">
        <v>352</v>
      </c>
      <c r="H49" s="12" t="s">
        <v>1670</v>
      </c>
      <c r="I49" s="12" t="s">
        <v>1590</v>
      </c>
      <c r="J49" s="12" t="s">
        <v>160</v>
      </c>
      <c r="K49" s="12" t="s">
        <v>701</v>
      </c>
      <c r="L49" s="12" t="s">
        <v>727</v>
      </c>
      <c r="M49" s="12" t="s">
        <v>766</v>
      </c>
      <c r="N49" s="12" t="s">
        <v>1671</v>
      </c>
      <c r="O49" s="12"/>
      <c r="P49" s="12" t="s">
        <v>1672</v>
      </c>
      <c r="Q49" s="12"/>
      <c r="R49" s="12" t="s">
        <v>1673</v>
      </c>
      <c r="S49" s="12" t="n">
        <v>28</v>
      </c>
      <c r="T49" s="12"/>
      <c r="U49" s="12" t="n">
        <v>7</v>
      </c>
      <c r="V49" s="12" t="s">
        <v>917</v>
      </c>
      <c r="W49" s="12" t="s">
        <v>1120</v>
      </c>
      <c r="X49" s="12" t="s">
        <v>1111</v>
      </c>
      <c r="Y49" s="12" t="s">
        <v>1370</v>
      </c>
      <c r="Z49" s="12" t="s">
        <v>1674</v>
      </c>
      <c r="AA49" s="12"/>
      <c r="AB49" s="12"/>
      <c r="AC49" s="12"/>
      <c r="AD49" s="12" t="s">
        <v>1144</v>
      </c>
      <c r="AE49" s="12" t="s">
        <v>1675</v>
      </c>
      <c r="AF49" s="12" t="s">
        <v>1676</v>
      </c>
      <c r="AG49" s="12" t="n">
        <f aca="false">COUNTIF(Variants!$B:$B,A49)</f>
        <v>2</v>
      </c>
      <c r="AH49" s="12" t="s">
        <v>1120</v>
      </c>
    </row>
    <row r="50" customFormat="false" ht="15" hidden="false" customHeight="false" outlineLevel="0" collapsed="false">
      <c r="A50" s="12" t="s">
        <v>1677</v>
      </c>
      <c r="B50" s="12" t="s">
        <v>1678</v>
      </c>
      <c r="C50" s="12" t="s">
        <v>1141</v>
      </c>
      <c r="D50" s="12" t="s">
        <v>1142</v>
      </c>
      <c r="E50" s="12" t="s">
        <v>1141</v>
      </c>
      <c r="F50" s="12" t="s">
        <v>344</v>
      </c>
      <c r="G50" s="12" t="s">
        <v>352</v>
      </c>
      <c r="H50" s="12" t="s">
        <v>1670</v>
      </c>
      <c r="I50" s="12" t="s">
        <v>93</v>
      </c>
      <c r="J50" s="12" t="s">
        <v>160</v>
      </c>
      <c r="K50" s="12" t="s">
        <v>701</v>
      </c>
      <c r="L50" s="12" t="s">
        <v>715</v>
      </c>
      <c r="M50" s="12" t="s">
        <v>760</v>
      </c>
      <c r="N50" s="12" t="s">
        <v>1679</v>
      </c>
      <c r="O50" s="12"/>
      <c r="P50" s="12" t="s">
        <v>1680</v>
      </c>
      <c r="Q50" s="12"/>
      <c r="R50" s="12" t="s">
        <v>1673</v>
      </c>
      <c r="S50" s="12" t="n">
        <v>7</v>
      </c>
      <c r="T50" s="12" t="n">
        <v>7</v>
      </c>
      <c r="U50" s="12"/>
      <c r="V50" s="12" t="s">
        <v>917</v>
      </c>
      <c r="W50" s="12" t="s">
        <v>1120</v>
      </c>
      <c r="X50" s="12" t="s">
        <v>1111</v>
      </c>
      <c r="Y50" s="12" t="s">
        <v>1370</v>
      </c>
      <c r="Z50" s="12" t="s">
        <v>1681</v>
      </c>
      <c r="AA50" s="12"/>
      <c r="AB50" s="12"/>
      <c r="AC50" s="12"/>
      <c r="AD50" s="12" t="s">
        <v>1144</v>
      </c>
      <c r="AE50" s="12" t="s">
        <v>1682</v>
      </c>
      <c r="AF50" s="12" t="s">
        <v>1683</v>
      </c>
      <c r="AG50" s="12" t="n">
        <f aca="false">COUNTIF(Variants!$B:$B,A50)</f>
        <v>1</v>
      </c>
      <c r="AH50" s="12" t="s">
        <v>1120</v>
      </c>
    </row>
    <row r="51" customFormat="false" ht="15" hidden="false" customHeight="false" outlineLevel="0" collapsed="false">
      <c r="A51" s="12" t="s">
        <v>1684</v>
      </c>
      <c r="B51" s="12" t="s">
        <v>1685</v>
      </c>
      <c r="C51" s="12" t="s">
        <v>1141</v>
      </c>
      <c r="D51" s="12" t="s">
        <v>1142</v>
      </c>
      <c r="E51" s="12" t="s">
        <v>1141</v>
      </c>
      <c r="F51" s="12" t="s">
        <v>344</v>
      </c>
      <c r="G51" s="12" t="s">
        <v>352</v>
      </c>
      <c r="H51" s="12" t="s">
        <v>1670</v>
      </c>
      <c r="I51" s="12" t="s">
        <v>93</v>
      </c>
      <c r="J51" s="12" t="s">
        <v>160</v>
      </c>
      <c r="K51" s="12" t="s">
        <v>701</v>
      </c>
      <c r="L51" s="12" t="s">
        <v>715</v>
      </c>
      <c r="M51" s="12" t="s">
        <v>760</v>
      </c>
      <c r="N51" s="12" t="s">
        <v>832</v>
      </c>
      <c r="O51" s="12" t="s">
        <v>906</v>
      </c>
      <c r="P51" s="12" t="s">
        <v>1686</v>
      </c>
      <c r="Q51" s="12"/>
      <c r="R51" s="12" t="s">
        <v>1673</v>
      </c>
      <c r="S51" s="12" t="n">
        <v>3</v>
      </c>
      <c r="T51" s="12" t="n">
        <v>0</v>
      </c>
      <c r="U51" s="12"/>
      <c r="V51" s="12" t="s">
        <v>917</v>
      </c>
      <c r="W51" s="12" t="s">
        <v>1120</v>
      </c>
      <c r="X51" s="12" t="s">
        <v>1111</v>
      </c>
      <c r="Y51" s="12" t="s">
        <v>1370</v>
      </c>
      <c r="Z51" s="12" t="s">
        <v>1687</v>
      </c>
      <c r="AA51" s="12"/>
      <c r="AB51" s="12"/>
      <c r="AC51" s="12"/>
      <c r="AD51" s="12" t="s">
        <v>1144</v>
      </c>
      <c r="AE51" s="12" t="s">
        <v>1688</v>
      </c>
      <c r="AF51" s="12" t="s">
        <v>1689</v>
      </c>
      <c r="AG51" s="12" t="n">
        <f aca="false">COUNTIF(Variants!$B:$B,A51)</f>
        <v>1</v>
      </c>
      <c r="AH51" s="12" t="s">
        <v>1120</v>
      </c>
    </row>
    <row r="52" customFormat="false" ht="15" hidden="false" customHeight="false" outlineLevel="0" collapsed="false">
      <c r="A52" s="12" t="s">
        <v>1690</v>
      </c>
      <c r="B52" s="12" t="s">
        <v>1691</v>
      </c>
      <c r="C52" s="12" t="s">
        <v>1141</v>
      </c>
      <c r="D52" s="12" t="s">
        <v>1142</v>
      </c>
      <c r="E52" s="12" t="s">
        <v>1141</v>
      </c>
      <c r="F52" s="12" t="s">
        <v>344</v>
      </c>
      <c r="G52" s="12" t="s">
        <v>352</v>
      </c>
      <c r="H52" s="12" t="s">
        <v>1670</v>
      </c>
      <c r="I52" s="12" t="s">
        <v>1590</v>
      </c>
      <c r="J52" s="12" t="s">
        <v>160</v>
      </c>
      <c r="K52" s="12" t="s">
        <v>701</v>
      </c>
      <c r="L52" s="12" t="s">
        <v>724</v>
      </c>
      <c r="M52" s="12" t="s">
        <v>766</v>
      </c>
      <c r="N52" s="12" t="s">
        <v>835</v>
      </c>
      <c r="O52" s="12"/>
      <c r="P52" s="12" t="s">
        <v>1692</v>
      </c>
      <c r="Q52" s="12"/>
      <c r="R52" s="12" t="s">
        <v>1673</v>
      </c>
      <c r="S52" s="12" t="n">
        <v>21</v>
      </c>
      <c r="T52" s="12"/>
      <c r="U52" s="12" t="n">
        <v>3</v>
      </c>
      <c r="V52" s="12" t="s">
        <v>917</v>
      </c>
      <c r="W52" s="12" t="s">
        <v>1120</v>
      </c>
      <c r="X52" s="12" t="s">
        <v>1120</v>
      </c>
      <c r="Y52" s="12" t="s">
        <v>1693</v>
      </c>
      <c r="Z52" s="12" t="s">
        <v>1694</v>
      </c>
      <c r="AA52" s="12"/>
      <c r="AB52" s="12"/>
      <c r="AC52" s="12"/>
      <c r="AD52" s="12" t="s">
        <v>1144</v>
      </c>
      <c r="AE52" s="12" t="s">
        <v>1695</v>
      </c>
      <c r="AF52" s="12" t="s">
        <v>1696</v>
      </c>
      <c r="AG52" s="12" t="n">
        <f aca="false">COUNTIF(Variants!$B:$B,A52)</f>
        <v>1</v>
      </c>
      <c r="AH52" s="12" t="s">
        <v>1120</v>
      </c>
    </row>
    <row r="53" customFormat="false" ht="15" hidden="false" customHeight="false" outlineLevel="0" collapsed="false">
      <c r="A53" s="12" t="s">
        <v>1697</v>
      </c>
      <c r="B53" s="12" t="s">
        <v>1698</v>
      </c>
      <c r="C53" s="12" t="s">
        <v>1141</v>
      </c>
      <c r="D53" s="12" t="s">
        <v>1142</v>
      </c>
      <c r="E53" s="12" t="s">
        <v>1141</v>
      </c>
      <c r="F53" s="12" t="s">
        <v>344</v>
      </c>
      <c r="G53" s="12" t="s">
        <v>356</v>
      </c>
      <c r="H53" s="12" t="s">
        <v>1699</v>
      </c>
      <c r="I53" s="12" t="s">
        <v>1700</v>
      </c>
      <c r="J53" s="12" t="s">
        <v>160</v>
      </c>
      <c r="K53" s="12" t="s">
        <v>701</v>
      </c>
      <c r="L53" s="12" t="s">
        <v>724</v>
      </c>
      <c r="M53" s="12" t="s">
        <v>763</v>
      </c>
      <c r="N53" s="12" t="s">
        <v>826</v>
      </c>
      <c r="O53" s="12"/>
      <c r="P53" s="12" t="s">
        <v>1701</v>
      </c>
      <c r="Q53" s="12"/>
      <c r="R53" s="12" t="s">
        <v>1702</v>
      </c>
      <c r="S53" s="12" t="n">
        <v>14</v>
      </c>
      <c r="T53" s="12"/>
      <c r="U53" s="12" t="n">
        <v>4</v>
      </c>
      <c r="V53" s="12" t="s">
        <v>914</v>
      </c>
      <c r="W53" s="12" t="s">
        <v>1111</v>
      </c>
      <c r="X53" s="12" t="s">
        <v>1111</v>
      </c>
      <c r="Y53" s="12" t="s">
        <v>1370</v>
      </c>
      <c r="Z53" s="12" t="s">
        <v>1703</v>
      </c>
      <c r="AA53" s="12"/>
      <c r="AB53" s="12"/>
      <c r="AC53" s="12"/>
      <c r="AD53" s="12" t="s">
        <v>1144</v>
      </c>
      <c r="AE53" s="12" t="s">
        <v>1704</v>
      </c>
      <c r="AF53" s="12" t="s">
        <v>1705</v>
      </c>
      <c r="AG53" s="12" t="n">
        <f aca="false">COUNTIF(Variants!$B:$B,A53)</f>
        <v>2</v>
      </c>
      <c r="AH53" s="12" t="s">
        <v>1120</v>
      </c>
    </row>
    <row r="54" customFormat="false" ht="15" hidden="false" customHeight="false" outlineLevel="0" collapsed="false">
      <c r="A54" s="12" t="s">
        <v>1706</v>
      </c>
      <c r="B54" s="12" t="s">
        <v>1707</v>
      </c>
      <c r="C54" s="12" t="s">
        <v>1137</v>
      </c>
      <c r="D54" s="12" t="s">
        <v>1138</v>
      </c>
      <c r="E54" s="12" t="s">
        <v>1137</v>
      </c>
      <c r="F54" s="12" t="s">
        <v>344</v>
      </c>
      <c r="G54" s="12" t="s">
        <v>356</v>
      </c>
      <c r="H54" s="12" t="s">
        <v>1699</v>
      </c>
      <c r="I54" s="12" t="s">
        <v>1648</v>
      </c>
      <c r="J54" s="12" t="s">
        <v>160</v>
      </c>
      <c r="K54" s="12" t="s">
        <v>701</v>
      </c>
      <c r="L54" s="12" t="s">
        <v>715</v>
      </c>
      <c r="M54" s="12" t="s">
        <v>760</v>
      </c>
      <c r="N54" s="12" t="s">
        <v>826</v>
      </c>
      <c r="O54" s="12"/>
      <c r="P54" s="12" t="s">
        <v>1708</v>
      </c>
      <c r="Q54" s="12"/>
      <c r="R54" s="12" t="s">
        <v>1584</v>
      </c>
      <c r="S54" s="12" t="n">
        <v>7</v>
      </c>
      <c r="T54" s="12" t="n">
        <v>7</v>
      </c>
      <c r="U54" s="12"/>
      <c r="V54" s="12" t="s">
        <v>914</v>
      </c>
      <c r="W54" s="12" t="s">
        <v>1111</v>
      </c>
      <c r="X54" s="12" t="s">
        <v>1111</v>
      </c>
      <c r="Y54" s="12" t="s">
        <v>1370</v>
      </c>
      <c r="Z54" s="12" t="s">
        <v>1709</v>
      </c>
      <c r="AA54" s="12"/>
      <c r="AB54" s="12"/>
      <c r="AC54" s="12"/>
      <c r="AD54" s="12" t="s">
        <v>1140</v>
      </c>
      <c r="AE54" s="12" t="s">
        <v>1710</v>
      </c>
      <c r="AF54" s="12" t="s">
        <v>1711</v>
      </c>
      <c r="AG54" s="12" t="n">
        <f aca="false">COUNTIF(Variants!$B:$B,A54)</f>
        <v>1</v>
      </c>
      <c r="AH54" s="12" t="s">
        <v>1120</v>
      </c>
    </row>
    <row r="55" customFormat="false" ht="15" hidden="false" customHeight="false" outlineLevel="0" collapsed="false">
      <c r="A55" s="12" t="s">
        <v>1712</v>
      </c>
      <c r="B55" s="12" t="s">
        <v>1713</v>
      </c>
      <c r="C55" s="12" t="s">
        <v>1141</v>
      </c>
      <c r="D55" s="12" t="s">
        <v>1142</v>
      </c>
      <c r="E55" s="12" t="s">
        <v>1141</v>
      </c>
      <c r="F55" s="12" t="s">
        <v>344</v>
      </c>
      <c r="G55" s="12" t="s">
        <v>356</v>
      </c>
      <c r="H55" s="12" t="s">
        <v>1699</v>
      </c>
      <c r="I55" s="12" t="s">
        <v>1714</v>
      </c>
      <c r="J55" s="12" t="s">
        <v>160</v>
      </c>
      <c r="K55" s="12" t="s">
        <v>701</v>
      </c>
      <c r="L55" s="12" t="s">
        <v>721</v>
      </c>
      <c r="M55" s="12" t="s">
        <v>763</v>
      </c>
      <c r="N55" s="12" t="s">
        <v>826</v>
      </c>
      <c r="O55" s="12"/>
      <c r="P55" s="12" t="s">
        <v>1715</v>
      </c>
      <c r="Q55" s="12"/>
      <c r="R55" s="12" t="s">
        <v>1702</v>
      </c>
      <c r="S55" s="12" t="n">
        <v>7</v>
      </c>
      <c r="T55" s="12"/>
      <c r="U55" s="12" t="n">
        <v>3</v>
      </c>
      <c r="V55" s="12" t="s">
        <v>914</v>
      </c>
      <c r="W55" s="12" t="s">
        <v>1111</v>
      </c>
      <c r="X55" s="12" t="s">
        <v>1111</v>
      </c>
      <c r="Y55" s="12" t="s">
        <v>1370</v>
      </c>
      <c r="Z55" s="12" t="s">
        <v>1716</v>
      </c>
      <c r="AA55" s="12"/>
      <c r="AB55" s="12"/>
      <c r="AC55" s="12"/>
      <c r="AD55" s="12" t="s">
        <v>1144</v>
      </c>
      <c r="AE55" s="12" t="s">
        <v>1717</v>
      </c>
      <c r="AF55" s="12" t="s">
        <v>1718</v>
      </c>
      <c r="AG55" s="12" t="n">
        <f aca="false">COUNTIF(Variants!$B:$B,A55)</f>
        <v>1</v>
      </c>
      <c r="AH55" s="12" t="s">
        <v>1120</v>
      </c>
    </row>
    <row r="56" customFormat="false" ht="15" hidden="false" customHeight="false" outlineLevel="0" collapsed="false">
      <c r="A56" s="12" t="s">
        <v>1719</v>
      </c>
      <c r="B56" s="12" t="s">
        <v>1720</v>
      </c>
      <c r="C56" s="12" t="s">
        <v>1141</v>
      </c>
      <c r="D56" s="12" t="s">
        <v>1142</v>
      </c>
      <c r="E56" s="12" t="s">
        <v>1141</v>
      </c>
      <c r="F56" s="12" t="s">
        <v>344</v>
      </c>
      <c r="G56" s="12" t="s">
        <v>356</v>
      </c>
      <c r="H56" s="12" t="s">
        <v>1699</v>
      </c>
      <c r="I56" s="12" t="s">
        <v>1590</v>
      </c>
      <c r="J56" s="12" t="s">
        <v>160</v>
      </c>
      <c r="K56" s="12" t="s">
        <v>701</v>
      </c>
      <c r="L56" s="12" t="s">
        <v>727</v>
      </c>
      <c r="M56" s="12" t="s">
        <v>769</v>
      </c>
      <c r="N56" s="12" t="s">
        <v>1721</v>
      </c>
      <c r="O56" s="12"/>
      <c r="P56" s="12" t="s">
        <v>1722</v>
      </c>
      <c r="Q56" s="12"/>
      <c r="R56" s="12" t="s">
        <v>1723</v>
      </c>
      <c r="S56" s="12" t="n">
        <v>35</v>
      </c>
      <c r="T56" s="12"/>
      <c r="U56" s="12"/>
      <c r="V56" s="12" t="s">
        <v>917</v>
      </c>
      <c r="W56" s="12" t="s">
        <v>1120</v>
      </c>
      <c r="X56" s="12" t="s">
        <v>1111</v>
      </c>
      <c r="Y56" s="12" t="s">
        <v>1370</v>
      </c>
      <c r="Z56" s="12" t="s">
        <v>1724</v>
      </c>
      <c r="AA56" s="12"/>
      <c r="AB56" s="12"/>
      <c r="AC56" s="12"/>
      <c r="AD56" s="12" t="s">
        <v>1144</v>
      </c>
      <c r="AE56" s="12" t="s">
        <v>1725</v>
      </c>
      <c r="AF56" s="12" t="s">
        <v>1726</v>
      </c>
      <c r="AG56" s="12" t="n">
        <f aca="false">COUNTIF(Variants!$B:$B,A56)</f>
        <v>2</v>
      </c>
      <c r="AH56" s="12" t="s">
        <v>1120</v>
      </c>
    </row>
    <row r="57" customFormat="false" ht="15" hidden="false" customHeight="false" outlineLevel="0" collapsed="false">
      <c r="A57" s="12" t="s">
        <v>1727</v>
      </c>
      <c r="B57" s="12" t="s">
        <v>1728</v>
      </c>
      <c r="C57" s="12" t="s">
        <v>1141</v>
      </c>
      <c r="D57" s="12" t="s">
        <v>1142</v>
      </c>
      <c r="E57" s="12" t="s">
        <v>1141</v>
      </c>
      <c r="F57" s="12" t="s">
        <v>344</v>
      </c>
      <c r="G57" s="12" t="s">
        <v>361</v>
      </c>
      <c r="H57" s="12" t="s">
        <v>1729</v>
      </c>
      <c r="I57" s="12" t="s">
        <v>93</v>
      </c>
      <c r="J57" s="12" t="s">
        <v>160</v>
      </c>
      <c r="K57" s="12" t="s">
        <v>701</v>
      </c>
      <c r="L57" s="12" t="s">
        <v>715</v>
      </c>
      <c r="M57" s="12" t="s">
        <v>760</v>
      </c>
      <c r="N57" s="12" t="s">
        <v>829</v>
      </c>
      <c r="O57" s="12" t="s">
        <v>829</v>
      </c>
      <c r="P57" s="12" t="s">
        <v>1730</v>
      </c>
      <c r="Q57" s="12"/>
      <c r="R57" s="12" t="s">
        <v>1584</v>
      </c>
      <c r="S57" s="12" t="n">
        <v>3</v>
      </c>
      <c r="T57" s="12" t="n">
        <v>0</v>
      </c>
      <c r="U57" s="12"/>
      <c r="V57" s="12" t="s">
        <v>914</v>
      </c>
      <c r="W57" s="12" t="s">
        <v>1111</v>
      </c>
      <c r="X57" s="12" t="s">
        <v>1111</v>
      </c>
      <c r="Y57" s="12" t="s">
        <v>1370</v>
      </c>
      <c r="Z57" s="12" t="s">
        <v>1731</v>
      </c>
      <c r="AA57" s="12"/>
      <c r="AB57" s="12"/>
      <c r="AC57" s="12"/>
      <c r="AD57" s="12" t="s">
        <v>1144</v>
      </c>
      <c r="AE57" s="12" t="s">
        <v>1732</v>
      </c>
      <c r="AF57" s="12" t="s">
        <v>1733</v>
      </c>
      <c r="AG57" s="12" t="n">
        <f aca="false">COUNTIF(Variants!$B:$B,A57)</f>
        <v>2</v>
      </c>
      <c r="AH57" s="12" t="s">
        <v>1120</v>
      </c>
    </row>
    <row r="58" customFormat="false" ht="15" hidden="false" customHeight="false" outlineLevel="0" collapsed="false">
      <c r="A58" s="12" t="s">
        <v>1734</v>
      </c>
      <c r="B58" s="12" t="s">
        <v>1735</v>
      </c>
      <c r="C58" s="12" t="s">
        <v>1141</v>
      </c>
      <c r="D58" s="12" t="s">
        <v>1142</v>
      </c>
      <c r="E58" s="12" t="s">
        <v>1141</v>
      </c>
      <c r="F58" s="12" t="s">
        <v>344</v>
      </c>
      <c r="G58" s="12" t="s">
        <v>361</v>
      </c>
      <c r="H58" s="12" t="s">
        <v>1729</v>
      </c>
      <c r="I58" s="12" t="s">
        <v>93</v>
      </c>
      <c r="J58" s="12" t="s">
        <v>160</v>
      </c>
      <c r="K58" s="12" t="s">
        <v>701</v>
      </c>
      <c r="L58" s="12" t="s">
        <v>721</v>
      </c>
      <c r="M58" s="12" t="s">
        <v>760</v>
      </c>
      <c r="N58" s="12" t="s">
        <v>829</v>
      </c>
      <c r="O58" s="12" t="s">
        <v>829</v>
      </c>
      <c r="P58" s="12" t="s">
        <v>1736</v>
      </c>
      <c r="Q58" s="12"/>
      <c r="R58" s="12" t="s">
        <v>1673</v>
      </c>
      <c r="S58" s="12" t="n">
        <v>18</v>
      </c>
      <c r="T58" s="12"/>
      <c r="U58" s="12"/>
      <c r="V58" s="12" t="s">
        <v>917</v>
      </c>
      <c r="W58" s="12" t="s">
        <v>1120</v>
      </c>
      <c r="X58" s="12" t="s">
        <v>1111</v>
      </c>
      <c r="Y58" s="12" t="s">
        <v>1370</v>
      </c>
      <c r="Z58" s="12" t="s">
        <v>1737</v>
      </c>
      <c r="AA58" s="12"/>
      <c r="AB58" s="12"/>
      <c r="AC58" s="12"/>
      <c r="AD58" s="12" t="s">
        <v>1144</v>
      </c>
      <c r="AE58" s="12" t="s">
        <v>1738</v>
      </c>
      <c r="AF58" s="12" t="s">
        <v>1739</v>
      </c>
      <c r="AG58" s="12" t="n">
        <f aca="false">COUNTIF(Variants!$B:$B,A58)</f>
        <v>2</v>
      </c>
      <c r="AH58" s="12" t="s">
        <v>1120</v>
      </c>
    </row>
    <row r="59" customFormat="false" ht="15" hidden="false" customHeight="false" outlineLevel="0" collapsed="false">
      <c r="A59" s="12" t="s">
        <v>1740</v>
      </c>
      <c r="B59" s="12" t="s">
        <v>1741</v>
      </c>
      <c r="C59" s="12" t="s">
        <v>1148</v>
      </c>
      <c r="D59" s="12" t="s">
        <v>1149</v>
      </c>
      <c r="E59" s="12" t="s">
        <v>1148</v>
      </c>
      <c r="F59" s="12" t="s">
        <v>344</v>
      </c>
      <c r="G59" s="12" t="s">
        <v>365</v>
      </c>
      <c r="H59" s="12" t="s">
        <v>1742</v>
      </c>
      <c r="I59" s="12" t="s">
        <v>1700</v>
      </c>
      <c r="J59" s="12" t="s">
        <v>160</v>
      </c>
      <c r="K59" s="12" t="s">
        <v>701</v>
      </c>
      <c r="L59" s="12" t="s">
        <v>721</v>
      </c>
      <c r="M59" s="12" t="s">
        <v>778</v>
      </c>
      <c r="N59" s="12" t="s">
        <v>1743</v>
      </c>
      <c r="O59" s="12" t="s">
        <v>903</v>
      </c>
      <c r="P59" s="12" t="s">
        <v>1744</v>
      </c>
      <c r="Q59" s="12"/>
      <c r="R59" s="12" t="s">
        <v>1745</v>
      </c>
      <c r="S59" s="12" t="n">
        <v>1</v>
      </c>
      <c r="T59" s="12"/>
      <c r="U59" s="12" t="n">
        <v>0</v>
      </c>
      <c r="V59" s="12" t="s">
        <v>922</v>
      </c>
      <c r="W59" s="12" t="s">
        <v>1111</v>
      </c>
      <c r="X59" s="12" t="s">
        <v>1111</v>
      </c>
      <c r="Y59" s="12" t="s">
        <v>1370</v>
      </c>
      <c r="Z59" s="12" t="s">
        <v>1746</v>
      </c>
      <c r="AA59" s="12"/>
      <c r="AB59" s="12"/>
      <c r="AC59" s="12"/>
      <c r="AD59" s="12" t="s">
        <v>1151</v>
      </c>
      <c r="AE59" s="12" t="s">
        <v>1747</v>
      </c>
      <c r="AF59" s="12" t="s">
        <v>1748</v>
      </c>
      <c r="AG59" s="12" t="n">
        <f aca="false">COUNTIF(Variants!$B:$B,A59)</f>
        <v>2</v>
      </c>
      <c r="AH59" s="12" t="s">
        <v>1120</v>
      </c>
    </row>
    <row r="60" customFormat="false" ht="15" hidden="false" customHeight="false" outlineLevel="0" collapsed="false">
      <c r="A60" s="12" t="s">
        <v>1749</v>
      </c>
      <c r="B60" s="12" t="s">
        <v>1750</v>
      </c>
      <c r="C60" s="12" t="s">
        <v>1148</v>
      </c>
      <c r="D60" s="12" t="s">
        <v>1149</v>
      </c>
      <c r="E60" s="12" t="s">
        <v>1148</v>
      </c>
      <c r="F60" s="12" t="s">
        <v>344</v>
      </c>
      <c r="G60" s="12" t="s">
        <v>365</v>
      </c>
      <c r="H60" s="12" t="s">
        <v>1742</v>
      </c>
      <c r="I60" s="12" t="s">
        <v>108</v>
      </c>
      <c r="J60" s="12" t="s">
        <v>160</v>
      </c>
      <c r="K60" s="12" t="s">
        <v>1431</v>
      </c>
      <c r="L60" s="12" t="s">
        <v>721</v>
      </c>
      <c r="M60" s="12" t="s">
        <v>781</v>
      </c>
      <c r="N60" s="12" t="s">
        <v>1743</v>
      </c>
      <c r="O60" s="12"/>
      <c r="P60" s="12" t="s">
        <v>1751</v>
      </c>
      <c r="Q60" s="12"/>
      <c r="R60" s="12" t="s">
        <v>1702</v>
      </c>
      <c r="S60" s="12" t="n">
        <v>3</v>
      </c>
      <c r="T60" s="12"/>
      <c r="U60" s="12" t="n">
        <v>0</v>
      </c>
      <c r="V60" s="12" t="s">
        <v>922</v>
      </c>
      <c r="W60" s="12" t="s">
        <v>1111</v>
      </c>
      <c r="X60" s="12" t="s">
        <v>1111</v>
      </c>
      <c r="Y60" s="12" t="s">
        <v>1370</v>
      </c>
      <c r="Z60" s="12" t="s">
        <v>1752</v>
      </c>
      <c r="AA60" s="12"/>
      <c r="AB60" s="12"/>
      <c r="AC60" s="12"/>
      <c r="AD60" s="12" t="s">
        <v>1151</v>
      </c>
      <c r="AE60" s="12" t="s">
        <v>1753</v>
      </c>
      <c r="AF60" s="12" t="s">
        <v>1754</v>
      </c>
      <c r="AG60" s="12" t="n">
        <f aca="false">COUNTIF(Variants!$B:$B,A60)</f>
        <v>1</v>
      </c>
      <c r="AH60" s="12" t="s">
        <v>1120</v>
      </c>
    </row>
    <row r="61" customFormat="false" ht="15" hidden="false" customHeight="false" outlineLevel="0" collapsed="false">
      <c r="A61" s="12" t="s">
        <v>1755</v>
      </c>
      <c r="B61" s="12" t="s">
        <v>1756</v>
      </c>
      <c r="C61" s="12" t="s">
        <v>1148</v>
      </c>
      <c r="D61" s="12" t="s">
        <v>1149</v>
      </c>
      <c r="E61" s="12" t="s">
        <v>1148</v>
      </c>
      <c r="F61" s="12" t="s">
        <v>344</v>
      </c>
      <c r="G61" s="12" t="s">
        <v>365</v>
      </c>
      <c r="H61" s="12" t="s">
        <v>1742</v>
      </c>
      <c r="I61" s="12" t="s">
        <v>93</v>
      </c>
      <c r="J61" s="12" t="s">
        <v>160</v>
      </c>
      <c r="K61" s="12" t="s">
        <v>701</v>
      </c>
      <c r="L61" s="12" t="s">
        <v>715</v>
      </c>
      <c r="M61" s="12" t="s">
        <v>784</v>
      </c>
      <c r="N61" s="12" t="s">
        <v>844</v>
      </c>
      <c r="O61" s="12"/>
      <c r="P61" s="12" t="s">
        <v>1757</v>
      </c>
      <c r="Q61" s="12"/>
      <c r="R61" s="12" t="s">
        <v>1584</v>
      </c>
      <c r="S61" s="12"/>
      <c r="T61" s="12"/>
      <c r="U61" s="12"/>
      <c r="V61" s="12" t="s">
        <v>922</v>
      </c>
      <c r="W61" s="12" t="s">
        <v>1111</v>
      </c>
      <c r="X61" s="12" t="s">
        <v>1111</v>
      </c>
      <c r="Y61" s="12" t="s">
        <v>1370</v>
      </c>
      <c r="Z61" s="12" t="s">
        <v>1758</v>
      </c>
      <c r="AA61" s="12"/>
      <c r="AB61" s="12"/>
      <c r="AC61" s="12"/>
      <c r="AD61" s="12" t="s">
        <v>1151</v>
      </c>
      <c r="AE61" s="12" t="s">
        <v>1759</v>
      </c>
      <c r="AF61" s="12" t="s">
        <v>1760</v>
      </c>
      <c r="AG61" s="12" t="n">
        <f aca="false">COUNTIF(Variants!$B:$B,A61)</f>
        <v>1</v>
      </c>
      <c r="AH61" s="12" t="s">
        <v>1120</v>
      </c>
    </row>
    <row r="62" customFormat="false" ht="15" hidden="false" customHeight="false" outlineLevel="0" collapsed="false">
      <c r="A62" s="12" t="s">
        <v>1761</v>
      </c>
      <c r="B62" s="12" t="s">
        <v>1762</v>
      </c>
      <c r="C62" s="12" t="s">
        <v>1141</v>
      </c>
      <c r="D62" s="12" t="s">
        <v>1142</v>
      </c>
      <c r="E62" s="12" t="s">
        <v>1141</v>
      </c>
      <c r="F62" s="12" t="s">
        <v>344</v>
      </c>
      <c r="G62" s="12" t="s">
        <v>370</v>
      </c>
      <c r="H62" s="12" t="s">
        <v>1763</v>
      </c>
      <c r="I62" s="12" t="s">
        <v>1764</v>
      </c>
      <c r="J62" s="12" t="s">
        <v>160</v>
      </c>
      <c r="K62" s="12" t="s">
        <v>701</v>
      </c>
      <c r="L62" s="12" t="s">
        <v>730</v>
      </c>
      <c r="M62" s="12" t="s">
        <v>784</v>
      </c>
      <c r="N62" s="12" t="s">
        <v>847</v>
      </c>
      <c r="O62" s="12"/>
      <c r="P62" s="12" t="s">
        <v>1765</v>
      </c>
      <c r="Q62" s="12"/>
      <c r="R62" s="12" t="s">
        <v>1766</v>
      </c>
      <c r="S62" s="12"/>
      <c r="T62" s="12"/>
      <c r="U62" s="12"/>
      <c r="V62" s="12" t="s">
        <v>914</v>
      </c>
      <c r="W62" s="12" t="s">
        <v>1111</v>
      </c>
      <c r="X62" s="12" t="s">
        <v>1111</v>
      </c>
      <c r="Y62" s="12" t="s">
        <v>1370</v>
      </c>
      <c r="Z62" s="12" t="s">
        <v>1767</v>
      </c>
      <c r="AA62" s="12"/>
      <c r="AB62" s="12"/>
      <c r="AC62" s="12"/>
      <c r="AD62" s="12" t="s">
        <v>1144</v>
      </c>
      <c r="AE62" s="12" t="s">
        <v>1768</v>
      </c>
      <c r="AF62" s="12" t="s">
        <v>1769</v>
      </c>
      <c r="AG62" s="12" t="n">
        <f aca="false">COUNTIF(Variants!$B:$B,A62)</f>
        <v>1</v>
      </c>
      <c r="AH62" s="12" t="s">
        <v>1120</v>
      </c>
    </row>
    <row r="63" customFormat="false" ht="15" hidden="false" customHeight="false" outlineLevel="0" collapsed="false">
      <c r="A63" s="12" t="s">
        <v>1770</v>
      </c>
      <c r="B63" s="12" t="s">
        <v>1771</v>
      </c>
      <c r="C63" s="12" t="s">
        <v>1141</v>
      </c>
      <c r="D63" s="12" t="s">
        <v>1142</v>
      </c>
      <c r="E63" s="12" t="s">
        <v>1141</v>
      </c>
      <c r="F63" s="12" t="s">
        <v>344</v>
      </c>
      <c r="G63" s="12" t="s">
        <v>374</v>
      </c>
      <c r="H63" s="12" t="s">
        <v>1772</v>
      </c>
      <c r="I63" s="12" t="s">
        <v>113</v>
      </c>
      <c r="J63" s="12" t="s">
        <v>216</v>
      </c>
      <c r="K63" s="12" t="s">
        <v>686</v>
      </c>
      <c r="L63" s="12" t="s">
        <v>727</v>
      </c>
      <c r="M63" s="12" t="s">
        <v>769</v>
      </c>
      <c r="N63" s="12" t="s">
        <v>850</v>
      </c>
      <c r="O63" s="12"/>
      <c r="P63" s="12" t="s">
        <v>1773</v>
      </c>
      <c r="Q63" s="12"/>
      <c r="R63" s="12" t="s">
        <v>1673</v>
      </c>
      <c r="S63" s="12"/>
      <c r="T63" s="12"/>
      <c r="U63" s="12"/>
      <c r="V63" s="12" t="s">
        <v>917</v>
      </c>
      <c r="W63" s="12" t="s">
        <v>1120</v>
      </c>
      <c r="X63" s="12" t="s">
        <v>1111</v>
      </c>
      <c r="Y63" s="12" t="s">
        <v>1370</v>
      </c>
      <c r="Z63" s="12" t="s">
        <v>1774</v>
      </c>
      <c r="AA63" s="12"/>
      <c r="AB63" s="12"/>
      <c r="AC63" s="12"/>
      <c r="AD63" s="12" t="s">
        <v>1144</v>
      </c>
      <c r="AE63" s="12" t="s">
        <v>1775</v>
      </c>
      <c r="AF63" s="12" t="s">
        <v>1776</v>
      </c>
      <c r="AG63" s="12" t="n">
        <f aca="false">COUNTIF(Variants!$B:$B,A63)</f>
        <v>1</v>
      </c>
      <c r="AH63" s="12" t="s">
        <v>1120</v>
      </c>
    </row>
    <row r="64" customFormat="false" ht="15" hidden="false" customHeight="false" outlineLevel="0" collapsed="false">
      <c r="A64" s="12" t="s">
        <v>1777</v>
      </c>
      <c r="B64" s="12" t="s">
        <v>1778</v>
      </c>
      <c r="C64" s="12" t="s">
        <v>1145</v>
      </c>
      <c r="D64" s="12" t="s">
        <v>1146</v>
      </c>
      <c r="E64" s="12" t="s">
        <v>1145</v>
      </c>
      <c r="F64" s="12" t="s">
        <v>380</v>
      </c>
      <c r="G64" s="12" t="s">
        <v>380</v>
      </c>
      <c r="H64" s="12" t="s">
        <v>382</v>
      </c>
      <c r="I64" s="12" t="s">
        <v>99</v>
      </c>
      <c r="J64" s="12" t="s">
        <v>160</v>
      </c>
      <c r="K64" s="12" t="s">
        <v>701</v>
      </c>
      <c r="L64" s="12" t="s">
        <v>739</v>
      </c>
      <c r="M64" s="12" t="s">
        <v>1779</v>
      </c>
      <c r="N64" s="12" t="s">
        <v>1780</v>
      </c>
      <c r="O64" s="12" t="s">
        <v>876</v>
      </c>
      <c r="P64" s="12" t="s">
        <v>1781</v>
      </c>
      <c r="Q64" s="12"/>
      <c r="R64" s="12"/>
      <c r="S64" s="12"/>
      <c r="T64" s="12"/>
      <c r="U64" s="12"/>
      <c r="V64" s="12" t="s">
        <v>920</v>
      </c>
      <c r="W64" s="12" t="s">
        <v>1120</v>
      </c>
      <c r="X64" s="12" t="s">
        <v>1120</v>
      </c>
      <c r="Y64" s="12" t="s">
        <v>1693</v>
      </c>
      <c r="Z64" s="12" t="s">
        <v>1782</v>
      </c>
      <c r="AA64" s="12"/>
      <c r="AB64" s="12"/>
      <c r="AC64" s="12"/>
      <c r="AD64" s="12" t="s">
        <v>1110</v>
      </c>
      <c r="AE64" s="12" t="s">
        <v>1783</v>
      </c>
      <c r="AF64" s="12" t="s">
        <v>1784</v>
      </c>
      <c r="AG64" s="12" t="n">
        <f aca="false">COUNTIF(Variants!$B:$B,A64)</f>
        <v>3</v>
      </c>
      <c r="AH64" s="12" t="s">
        <v>1120</v>
      </c>
    </row>
    <row r="65" customFormat="false" ht="15" hidden="false" customHeight="false" outlineLevel="0" collapsed="false">
      <c r="A65" s="12" t="s">
        <v>1785</v>
      </c>
      <c r="B65" s="12" t="s">
        <v>1786</v>
      </c>
      <c r="C65" s="12" t="s">
        <v>1145</v>
      </c>
      <c r="D65" s="12" t="s">
        <v>1146</v>
      </c>
      <c r="E65" s="12" t="s">
        <v>1145</v>
      </c>
      <c r="F65" s="12" t="s">
        <v>380</v>
      </c>
      <c r="G65" s="12" t="s">
        <v>380</v>
      </c>
      <c r="H65" s="12" t="s">
        <v>382</v>
      </c>
      <c r="I65" s="12" t="s">
        <v>99</v>
      </c>
      <c r="J65" s="12" t="s">
        <v>160</v>
      </c>
      <c r="K65" s="12" t="s">
        <v>701</v>
      </c>
      <c r="L65" s="12" t="s">
        <v>739</v>
      </c>
      <c r="M65" s="12" t="s">
        <v>1787</v>
      </c>
      <c r="N65" s="12" t="s">
        <v>1780</v>
      </c>
      <c r="O65" s="12" t="s">
        <v>876</v>
      </c>
      <c r="P65" s="12" t="s">
        <v>1788</v>
      </c>
      <c r="Q65" s="12"/>
      <c r="R65" s="12"/>
      <c r="S65" s="12"/>
      <c r="T65" s="12"/>
      <c r="U65" s="12"/>
      <c r="V65" s="12" t="s">
        <v>920</v>
      </c>
      <c r="W65" s="12" t="s">
        <v>1120</v>
      </c>
      <c r="X65" s="12" t="s">
        <v>1120</v>
      </c>
      <c r="Y65" s="12" t="s">
        <v>1693</v>
      </c>
      <c r="Z65" s="12" t="s">
        <v>1789</v>
      </c>
      <c r="AA65" s="12"/>
      <c r="AB65" s="12"/>
      <c r="AC65" s="12"/>
      <c r="AD65" s="12" t="s">
        <v>1110</v>
      </c>
      <c r="AE65" s="12" t="s">
        <v>1790</v>
      </c>
      <c r="AF65" s="12" t="s">
        <v>1791</v>
      </c>
      <c r="AG65" s="12" t="n">
        <f aca="false">COUNTIF(Variants!$B:$B,A65)</f>
        <v>2</v>
      </c>
      <c r="AH65" s="12" t="s">
        <v>1120</v>
      </c>
    </row>
    <row r="66" customFormat="false" ht="15" hidden="false" customHeight="false" outlineLevel="0" collapsed="false">
      <c r="A66" s="12" t="s">
        <v>1792</v>
      </c>
      <c r="B66" s="12" t="s">
        <v>1793</v>
      </c>
      <c r="C66" s="12" t="s">
        <v>1145</v>
      </c>
      <c r="D66" s="12" t="s">
        <v>1146</v>
      </c>
      <c r="E66" s="12" t="s">
        <v>1145</v>
      </c>
      <c r="F66" s="12" t="s">
        <v>380</v>
      </c>
      <c r="G66" s="12" t="s">
        <v>380</v>
      </c>
      <c r="H66" s="12" t="s">
        <v>382</v>
      </c>
      <c r="I66" s="12" t="s">
        <v>99</v>
      </c>
      <c r="J66" s="12" t="s">
        <v>166</v>
      </c>
      <c r="K66" s="12" t="s">
        <v>701</v>
      </c>
      <c r="L66" s="12" t="s">
        <v>739</v>
      </c>
      <c r="M66" s="12" t="s">
        <v>760</v>
      </c>
      <c r="N66" s="12" t="s">
        <v>1780</v>
      </c>
      <c r="O66" s="12" t="s">
        <v>879</v>
      </c>
      <c r="P66" s="12" t="s">
        <v>1794</v>
      </c>
      <c r="Q66" s="12"/>
      <c r="R66" s="12"/>
      <c r="S66" s="12"/>
      <c r="T66" s="12"/>
      <c r="U66" s="12"/>
      <c r="V66" s="12" t="s">
        <v>920</v>
      </c>
      <c r="W66" s="12" t="s">
        <v>1120</v>
      </c>
      <c r="X66" s="12" t="s">
        <v>1120</v>
      </c>
      <c r="Y66" s="12" t="s">
        <v>1693</v>
      </c>
      <c r="Z66" s="12" t="s">
        <v>1795</v>
      </c>
      <c r="AA66" s="12"/>
      <c r="AB66" s="12"/>
      <c r="AC66" s="12"/>
      <c r="AD66" s="12" t="s">
        <v>1110</v>
      </c>
      <c r="AE66" s="12" t="s">
        <v>1796</v>
      </c>
      <c r="AF66" s="12" t="s">
        <v>1797</v>
      </c>
      <c r="AG66" s="12" t="n">
        <f aca="false">COUNTIF(Variants!$B:$B,A66)</f>
        <v>2</v>
      </c>
      <c r="AH66" s="12" t="s">
        <v>1120</v>
      </c>
    </row>
    <row r="67" customFormat="false" ht="15" hidden="false" customHeight="false" outlineLevel="0" collapsed="false">
      <c r="A67" s="12" t="s">
        <v>1798</v>
      </c>
      <c r="B67" s="12" t="s">
        <v>1799</v>
      </c>
      <c r="C67" s="12" t="s">
        <v>1145</v>
      </c>
      <c r="D67" s="12" t="s">
        <v>1146</v>
      </c>
      <c r="E67" s="12" t="s">
        <v>1145</v>
      </c>
      <c r="F67" s="12" t="s">
        <v>380</v>
      </c>
      <c r="G67" s="12" t="s">
        <v>380</v>
      </c>
      <c r="H67" s="12" t="s">
        <v>382</v>
      </c>
      <c r="I67" s="12" t="s">
        <v>99</v>
      </c>
      <c r="J67" s="12" t="s">
        <v>170</v>
      </c>
      <c r="K67" s="12" t="s">
        <v>701</v>
      </c>
      <c r="L67" s="12" t="s">
        <v>739</v>
      </c>
      <c r="M67" s="12" t="s">
        <v>775</v>
      </c>
      <c r="N67" s="12" t="s">
        <v>1780</v>
      </c>
      <c r="O67" s="12" t="s">
        <v>882</v>
      </c>
      <c r="P67" s="12" t="s">
        <v>1800</v>
      </c>
      <c r="Q67" s="12"/>
      <c r="R67" s="12"/>
      <c r="S67" s="12"/>
      <c r="T67" s="12"/>
      <c r="U67" s="12"/>
      <c r="V67" s="12" t="s">
        <v>920</v>
      </c>
      <c r="W67" s="12" t="s">
        <v>1120</v>
      </c>
      <c r="X67" s="12" t="s">
        <v>1120</v>
      </c>
      <c r="Y67" s="12" t="s">
        <v>1693</v>
      </c>
      <c r="Z67" s="12" t="s">
        <v>1801</v>
      </c>
      <c r="AA67" s="12"/>
      <c r="AB67" s="12"/>
      <c r="AC67" s="12"/>
      <c r="AD67" s="12" t="s">
        <v>1110</v>
      </c>
      <c r="AE67" s="12" t="s">
        <v>1802</v>
      </c>
      <c r="AF67" s="12" t="s">
        <v>1803</v>
      </c>
      <c r="AG67" s="12" t="n">
        <f aca="false">COUNTIF(Variants!$B:$B,A67)</f>
        <v>2</v>
      </c>
      <c r="AH67" s="12" t="s">
        <v>1120</v>
      </c>
    </row>
    <row r="68" customFormat="false" ht="15" hidden="false" customHeight="false" outlineLevel="0" collapsed="false">
      <c r="A68" s="12" t="s">
        <v>1804</v>
      </c>
      <c r="B68" s="12" t="s">
        <v>1805</v>
      </c>
      <c r="C68" s="12" t="s">
        <v>1145</v>
      </c>
      <c r="D68" s="12" t="s">
        <v>1146</v>
      </c>
      <c r="E68" s="12" t="s">
        <v>1145</v>
      </c>
      <c r="F68" s="12" t="s">
        <v>380</v>
      </c>
      <c r="G68" s="12" t="s">
        <v>380</v>
      </c>
      <c r="H68" s="12" t="s">
        <v>382</v>
      </c>
      <c r="I68" s="12" t="s">
        <v>99</v>
      </c>
      <c r="J68" s="12" t="s">
        <v>166</v>
      </c>
      <c r="K68" s="12" t="s">
        <v>701</v>
      </c>
      <c r="L68" s="12" t="s">
        <v>739</v>
      </c>
      <c r="M68" s="12" t="s">
        <v>769</v>
      </c>
      <c r="N68" s="12" t="s">
        <v>1780</v>
      </c>
      <c r="O68" s="12" t="s">
        <v>885</v>
      </c>
      <c r="P68" s="12" t="s">
        <v>1806</v>
      </c>
      <c r="Q68" s="12"/>
      <c r="R68" s="12"/>
      <c r="S68" s="12"/>
      <c r="T68" s="12"/>
      <c r="U68" s="12"/>
      <c r="V68" s="12" t="s">
        <v>920</v>
      </c>
      <c r="W68" s="12" t="s">
        <v>1120</v>
      </c>
      <c r="X68" s="12" t="s">
        <v>1120</v>
      </c>
      <c r="Y68" s="12" t="s">
        <v>1693</v>
      </c>
      <c r="Z68" s="12" t="s">
        <v>1807</v>
      </c>
      <c r="AA68" s="12"/>
      <c r="AB68" s="12"/>
      <c r="AC68" s="12"/>
      <c r="AD68" s="12" t="s">
        <v>1110</v>
      </c>
      <c r="AE68" s="12" t="s">
        <v>1808</v>
      </c>
      <c r="AF68" s="12" t="s">
        <v>1809</v>
      </c>
      <c r="AG68" s="12" t="n">
        <f aca="false">COUNTIF(Variants!$B:$B,A68)</f>
        <v>1</v>
      </c>
      <c r="AH68" s="12" t="s">
        <v>1120</v>
      </c>
    </row>
    <row r="69" customFormat="false" ht="15" hidden="false" customHeight="false" outlineLevel="0" collapsed="false">
      <c r="A69" s="12" t="s">
        <v>1810</v>
      </c>
      <c r="B69" s="12" t="s">
        <v>1811</v>
      </c>
      <c r="C69" s="12" t="s">
        <v>1145</v>
      </c>
      <c r="D69" s="12" t="s">
        <v>1146</v>
      </c>
      <c r="E69" s="12" t="s">
        <v>1145</v>
      </c>
      <c r="F69" s="12" t="s">
        <v>380</v>
      </c>
      <c r="G69" s="12" t="s">
        <v>380</v>
      </c>
      <c r="H69" s="12" t="s">
        <v>382</v>
      </c>
      <c r="I69" s="12" t="s">
        <v>99</v>
      </c>
      <c r="J69" s="12" t="s">
        <v>170</v>
      </c>
      <c r="K69" s="12" t="s">
        <v>701</v>
      </c>
      <c r="L69" s="12" t="s">
        <v>739</v>
      </c>
      <c r="M69" s="12" t="s">
        <v>769</v>
      </c>
      <c r="N69" s="12" t="s">
        <v>1780</v>
      </c>
      <c r="O69" s="12" t="s">
        <v>888</v>
      </c>
      <c r="P69" s="12" t="s">
        <v>1812</v>
      </c>
      <c r="Q69" s="12"/>
      <c r="R69" s="12"/>
      <c r="S69" s="12"/>
      <c r="T69" s="12"/>
      <c r="U69" s="12"/>
      <c r="V69" s="12" t="s">
        <v>920</v>
      </c>
      <c r="W69" s="12" t="s">
        <v>1120</v>
      </c>
      <c r="X69" s="12" t="s">
        <v>1120</v>
      </c>
      <c r="Y69" s="12" t="s">
        <v>1693</v>
      </c>
      <c r="Z69" s="12" t="s">
        <v>1813</v>
      </c>
      <c r="AA69" s="12"/>
      <c r="AB69" s="12"/>
      <c r="AC69" s="12"/>
      <c r="AD69" s="12" t="s">
        <v>1110</v>
      </c>
      <c r="AE69" s="12" t="s">
        <v>1814</v>
      </c>
      <c r="AF69" s="12" t="s">
        <v>1815</v>
      </c>
      <c r="AG69" s="12" t="n">
        <f aca="false">COUNTIF(Variants!$B:$B,A69)</f>
        <v>1</v>
      </c>
      <c r="AH69" s="12" t="s">
        <v>1120</v>
      </c>
    </row>
    <row r="70" customFormat="false" ht="15" hidden="false" customHeight="false" outlineLevel="0" collapsed="false">
      <c r="A70" s="12" t="s">
        <v>1816</v>
      </c>
      <c r="B70" s="12" t="s">
        <v>1817</v>
      </c>
      <c r="C70" s="12" t="s">
        <v>1145</v>
      </c>
      <c r="D70" s="12" t="s">
        <v>1146</v>
      </c>
      <c r="E70" s="12" t="s">
        <v>1145</v>
      </c>
      <c r="F70" s="12" t="s">
        <v>380</v>
      </c>
      <c r="G70" s="12" t="s">
        <v>380</v>
      </c>
      <c r="H70" s="12" t="s">
        <v>382</v>
      </c>
      <c r="I70" s="12" t="s">
        <v>108</v>
      </c>
      <c r="J70" s="12" t="s">
        <v>160</v>
      </c>
      <c r="K70" s="12" t="s">
        <v>701</v>
      </c>
      <c r="L70" s="12" t="s">
        <v>739</v>
      </c>
      <c r="M70" s="12" t="s">
        <v>769</v>
      </c>
      <c r="N70" s="12" t="s">
        <v>1780</v>
      </c>
      <c r="O70" s="12" t="s">
        <v>894</v>
      </c>
      <c r="P70" s="12" t="s">
        <v>1818</v>
      </c>
      <c r="Q70" s="12"/>
      <c r="R70" s="12"/>
      <c r="S70" s="12"/>
      <c r="T70" s="12"/>
      <c r="U70" s="12"/>
      <c r="V70" s="12" t="s">
        <v>920</v>
      </c>
      <c r="W70" s="12" t="s">
        <v>1120</v>
      </c>
      <c r="X70" s="12" t="s">
        <v>1120</v>
      </c>
      <c r="Y70" s="12" t="s">
        <v>1693</v>
      </c>
      <c r="Z70" s="12" t="s">
        <v>1819</v>
      </c>
      <c r="AA70" s="12"/>
      <c r="AB70" s="12"/>
      <c r="AC70" s="12"/>
      <c r="AD70" s="12" t="s">
        <v>1110</v>
      </c>
      <c r="AE70" s="12" t="s">
        <v>1820</v>
      </c>
      <c r="AF70" s="12" t="s">
        <v>1821</v>
      </c>
      <c r="AG70" s="12" t="n">
        <f aca="false">COUNTIF(Variants!$B:$B,A70)</f>
        <v>1</v>
      </c>
      <c r="AH70" s="12" t="s">
        <v>1120</v>
      </c>
    </row>
    <row r="71" customFormat="false" ht="15" hidden="false" customHeight="false" outlineLevel="0" collapsed="false">
      <c r="A71" s="12" t="s">
        <v>1822</v>
      </c>
      <c r="B71" s="12" t="s">
        <v>1823</v>
      </c>
      <c r="C71" s="12" t="s">
        <v>1145</v>
      </c>
      <c r="D71" s="12" t="s">
        <v>1146</v>
      </c>
      <c r="E71" s="12" t="s">
        <v>1145</v>
      </c>
      <c r="F71" s="12" t="s">
        <v>380</v>
      </c>
      <c r="G71" s="12" t="s">
        <v>380</v>
      </c>
      <c r="H71" s="12" t="s">
        <v>382</v>
      </c>
      <c r="I71" s="12" t="s">
        <v>1700</v>
      </c>
      <c r="J71" s="12" t="s">
        <v>160</v>
      </c>
      <c r="K71" s="12" t="s">
        <v>701</v>
      </c>
      <c r="L71" s="12" t="s">
        <v>739</v>
      </c>
      <c r="M71" s="12" t="s">
        <v>769</v>
      </c>
      <c r="N71" s="12" t="s">
        <v>1780</v>
      </c>
      <c r="O71" s="12" t="s">
        <v>897</v>
      </c>
      <c r="P71" s="12" t="s">
        <v>1824</v>
      </c>
      <c r="Q71" s="12"/>
      <c r="R71" s="12"/>
      <c r="S71" s="12"/>
      <c r="T71" s="12"/>
      <c r="U71" s="12"/>
      <c r="V71" s="12" t="s">
        <v>920</v>
      </c>
      <c r="W71" s="12" t="s">
        <v>1120</v>
      </c>
      <c r="X71" s="12" t="s">
        <v>1120</v>
      </c>
      <c r="Y71" s="12" t="s">
        <v>1693</v>
      </c>
      <c r="Z71" s="12" t="s">
        <v>1825</v>
      </c>
      <c r="AA71" s="12"/>
      <c r="AB71" s="12"/>
      <c r="AC71" s="12"/>
      <c r="AD71" s="12" t="s">
        <v>1110</v>
      </c>
      <c r="AE71" s="12" t="s">
        <v>1826</v>
      </c>
      <c r="AF71" s="12" t="s">
        <v>1827</v>
      </c>
      <c r="AG71" s="12" t="n">
        <f aca="false">COUNTIF(Variants!$B:$B,A71)</f>
        <v>1</v>
      </c>
      <c r="AH71" s="12" t="s">
        <v>1120</v>
      </c>
    </row>
    <row r="72" customFormat="false" ht="15" hidden="false" customHeight="false" outlineLevel="0" collapsed="false">
      <c r="A72" s="12" t="s">
        <v>1828</v>
      </c>
      <c r="B72" s="12" t="s">
        <v>1829</v>
      </c>
      <c r="C72" s="12" t="s">
        <v>1145</v>
      </c>
      <c r="D72" s="12" t="s">
        <v>1146</v>
      </c>
      <c r="E72" s="12" t="s">
        <v>1145</v>
      </c>
      <c r="F72" s="12" t="s">
        <v>380</v>
      </c>
      <c r="G72" s="12" t="s">
        <v>380</v>
      </c>
      <c r="H72" s="12" t="s">
        <v>382</v>
      </c>
      <c r="I72" s="12" t="s">
        <v>1437</v>
      </c>
      <c r="J72" s="12" t="s">
        <v>160</v>
      </c>
      <c r="K72" s="12" t="s">
        <v>701</v>
      </c>
      <c r="L72" s="12" t="s">
        <v>739</v>
      </c>
      <c r="M72" s="12" t="s">
        <v>769</v>
      </c>
      <c r="N72" s="12" t="s">
        <v>1780</v>
      </c>
      <c r="O72" s="12" t="s">
        <v>900</v>
      </c>
      <c r="P72" s="12" t="s">
        <v>1830</v>
      </c>
      <c r="Q72" s="12"/>
      <c r="R72" s="12"/>
      <c r="S72" s="12"/>
      <c r="T72" s="12"/>
      <c r="U72" s="12"/>
      <c r="V72" s="12" t="s">
        <v>920</v>
      </c>
      <c r="W72" s="12" t="s">
        <v>1120</v>
      </c>
      <c r="X72" s="12" t="s">
        <v>1120</v>
      </c>
      <c r="Y72" s="12" t="s">
        <v>1693</v>
      </c>
      <c r="Z72" s="12" t="s">
        <v>1831</v>
      </c>
      <c r="AA72" s="12"/>
      <c r="AB72" s="12"/>
      <c r="AC72" s="12"/>
      <c r="AD72" s="12" t="s">
        <v>1110</v>
      </c>
      <c r="AE72" s="12" t="s">
        <v>1832</v>
      </c>
      <c r="AF72" s="12" t="s">
        <v>1833</v>
      </c>
      <c r="AG72" s="12" t="n">
        <f aca="false">COUNTIF(Variants!$B:$B,A72)</f>
        <v>1</v>
      </c>
      <c r="AH72" s="12" t="s">
        <v>1120</v>
      </c>
    </row>
    <row r="73" customFormat="false" ht="15" hidden="false" customHeight="false" outlineLevel="0" collapsed="false">
      <c r="A73" s="12" t="s">
        <v>1834</v>
      </c>
      <c r="B73" s="12" t="s">
        <v>1835</v>
      </c>
      <c r="C73" s="12" t="s">
        <v>1148</v>
      </c>
      <c r="D73" s="12" t="s">
        <v>1149</v>
      </c>
      <c r="E73" s="12" t="s">
        <v>1148</v>
      </c>
      <c r="F73" s="12" t="s">
        <v>387</v>
      </c>
      <c r="G73" s="12" t="s">
        <v>394</v>
      </c>
      <c r="H73" s="12" t="s">
        <v>1836</v>
      </c>
      <c r="I73" s="12" t="s">
        <v>1581</v>
      </c>
      <c r="J73" s="12" t="s">
        <v>160</v>
      </c>
      <c r="K73" s="12" t="s">
        <v>701</v>
      </c>
      <c r="L73" s="12" t="s">
        <v>721</v>
      </c>
      <c r="M73" s="12" t="s">
        <v>1837</v>
      </c>
      <c r="N73" s="12" t="s">
        <v>853</v>
      </c>
      <c r="O73" s="12"/>
      <c r="P73" s="12" t="s">
        <v>1838</v>
      </c>
      <c r="Q73" s="12"/>
      <c r="R73" s="12" t="s">
        <v>1745</v>
      </c>
      <c r="S73" s="12"/>
      <c r="T73" s="12"/>
      <c r="U73" s="12"/>
      <c r="V73" s="12" t="s">
        <v>925</v>
      </c>
      <c r="W73" s="12" t="s">
        <v>1111</v>
      </c>
      <c r="X73" s="12" t="s">
        <v>1111</v>
      </c>
      <c r="Y73" s="12" t="s">
        <v>1370</v>
      </c>
      <c r="Z73" s="12" t="s">
        <v>1839</v>
      </c>
      <c r="AA73" s="12"/>
      <c r="AB73" s="12"/>
      <c r="AC73" s="12"/>
      <c r="AD73" s="12" t="s">
        <v>1151</v>
      </c>
      <c r="AE73" s="12" t="s">
        <v>1840</v>
      </c>
      <c r="AF73" s="12" t="s">
        <v>1841</v>
      </c>
      <c r="AG73" s="12" t="n">
        <f aca="false">COUNTIF(Variants!$B:$B,A73)</f>
        <v>2</v>
      </c>
      <c r="AH73" s="12" t="s">
        <v>1120</v>
      </c>
    </row>
    <row r="74" customFormat="false" ht="15" hidden="false" customHeight="false" outlineLevel="0" collapsed="false">
      <c r="A74" s="12" t="s">
        <v>1842</v>
      </c>
      <c r="B74" s="12" t="s">
        <v>1843</v>
      </c>
      <c r="C74" s="12" t="s">
        <v>1148</v>
      </c>
      <c r="D74" s="12" t="s">
        <v>1149</v>
      </c>
      <c r="E74" s="12" t="s">
        <v>1148</v>
      </c>
      <c r="F74" s="12" t="s">
        <v>387</v>
      </c>
      <c r="G74" s="12" t="s">
        <v>394</v>
      </c>
      <c r="H74" s="12" t="s">
        <v>1836</v>
      </c>
      <c r="I74" s="12" t="s">
        <v>1844</v>
      </c>
      <c r="J74" s="12" t="s">
        <v>160</v>
      </c>
      <c r="K74" s="12" t="s">
        <v>701</v>
      </c>
      <c r="L74" s="12" t="s">
        <v>721</v>
      </c>
      <c r="M74" s="12" t="s">
        <v>1845</v>
      </c>
      <c r="N74" s="12" t="s">
        <v>1846</v>
      </c>
      <c r="O74" s="12"/>
      <c r="P74" s="12" t="s">
        <v>1847</v>
      </c>
      <c r="Q74" s="12"/>
      <c r="R74" s="12"/>
      <c r="S74" s="12"/>
      <c r="T74" s="12"/>
      <c r="U74" s="12"/>
      <c r="V74" s="12" t="s">
        <v>925</v>
      </c>
      <c r="W74" s="12" t="s">
        <v>1111</v>
      </c>
      <c r="X74" s="12" t="s">
        <v>1111</v>
      </c>
      <c r="Y74" s="12" t="s">
        <v>1370</v>
      </c>
      <c r="Z74" s="12" t="s">
        <v>1848</v>
      </c>
      <c r="AA74" s="12"/>
      <c r="AB74" s="12"/>
      <c r="AC74" s="12"/>
      <c r="AD74" s="12" t="s">
        <v>1151</v>
      </c>
      <c r="AE74" s="12" t="s">
        <v>1849</v>
      </c>
      <c r="AF74" s="12" t="s">
        <v>1850</v>
      </c>
      <c r="AG74" s="12" t="n">
        <f aca="false">COUNTIF(Variants!$B:$B,A74)</f>
        <v>1</v>
      </c>
      <c r="AH74" s="12" t="s">
        <v>1120</v>
      </c>
    </row>
    <row r="75" customFormat="false" ht="15" hidden="false" customHeight="false" outlineLevel="0" collapsed="false">
      <c r="A75" s="12" t="s">
        <v>1851</v>
      </c>
      <c r="B75" s="12" t="s">
        <v>1852</v>
      </c>
      <c r="C75" s="12" t="s">
        <v>1148</v>
      </c>
      <c r="D75" s="12" t="s">
        <v>1149</v>
      </c>
      <c r="E75" s="12" t="s">
        <v>1148</v>
      </c>
      <c r="F75" s="12" t="s">
        <v>387</v>
      </c>
      <c r="G75" s="12" t="s">
        <v>394</v>
      </c>
      <c r="H75" s="12" t="s">
        <v>1836</v>
      </c>
      <c r="I75" s="12" t="s">
        <v>1648</v>
      </c>
      <c r="J75" s="12" t="s">
        <v>160</v>
      </c>
      <c r="K75" s="12" t="s">
        <v>701</v>
      </c>
      <c r="L75" s="12" t="s">
        <v>736</v>
      </c>
      <c r="M75" s="12" t="s">
        <v>760</v>
      </c>
      <c r="N75" s="12" t="s">
        <v>853</v>
      </c>
      <c r="O75" s="12"/>
      <c r="P75" s="12" t="s">
        <v>1853</v>
      </c>
      <c r="Q75" s="12"/>
      <c r="R75" s="12" t="s">
        <v>1584</v>
      </c>
      <c r="S75" s="12"/>
      <c r="T75" s="12"/>
      <c r="U75" s="12"/>
      <c r="V75" s="12" t="s">
        <v>925</v>
      </c>
      <c r="W75" s="12" t="s">
        <v>1111</v>
      </c>
      <c r="X75" s="12" t="s">
        <v>1111</v>
      </c>
      <c r="Y75" s="12" t="s">
        <v>1370</v>
      </c>
      <c r="Z75" s="12" t="s">
        <v>1854</v>
      </c>
      <c r="AA75" s="12"/>
      <c r="AB75" s="12"/>
      <c r="AC75" s="12"/>
      <c r="AD75" s="12" t="s">
        <v>1151</v>
      </c>
      <c r="AE75" s="12" t="s">
        <v>1855</v>
      </c>
      <c r="AF75" s="12" t="s">
        <v>1856</v>
      </c>
      <c r="AG75" s="12" t="n">
        <f aca="false">COUNTIF(Variants!$B:$B,A75)</f>
        <v>1</v>
      </c>
      <c r="AH75" s="12" t="s">
        <v>1120</v>
      </c>
    </row>
    <row r="76" customFormat="false" ht="15" hidden="false" customHeight="false" outlineLevel="0" collapsed="false">
      <c r="A76" s="12" t="s">
        <v>1857</v>
      </c>
      <c r="B76" s="12" t="s">
        <v>1858</v>
      </c>
      <c r="C76" s="12" t="s">
        <v>1148</v>
      </c>
      <c r="D76" s="12" t="s">
        <v>1149</v>
      </c>
      <c r="E76" s="12" t="s">
        <v>1148</v>
      </c>
      <c r="F76" s="12" t="s">
        <v>387</v>
      </c>
      <c r="G76" s="12" t="s">
        <v>398</v>
      </c>
      <c r="H76" s="12" t="s">
        <v>1859</v>
      </c>
      <c r="I76" s="12" t="s">
        <v>1648</v>
      </c>
      <c r="J76" s="12" t="s">
        <v>160</v>
      </c>
      <c r="K76" s="12" t="s">
        <v>701</v>
      </c>
      <c r="L76" s="12" t="s">
        <v>733</v>
      </c>
      <c r="M76" s="12" t="s">
        <v>793</v>
      </c>
      <c r="N76" s="12" t="s">
        <v>856</v>
      </c>
      <c r="O76" s="12"/>
      <c r="P76" s="12" t="s">
        <v>1860</v>
      </c>
      <c r="Q76" s="12"/>
      <c r="R76" s="12"/>
      <c r="S76" s="12"/>
      <c r="T76" s="12"/>
      <c r="U76" s="12"/>
      <c r="V76" s="12" t="s">
        <v>922</v>
      </c>
      <c r="W76" s="12" t="s">
        <v>1111</v>
      </c>
      <c r="X76" s="12" t="s">
        <v>1111</v>
      </c>
      <c r="Y76" s="12" t="s">
        <v>1861</v>
      </c>
      <c r="Z76" s="12" t="s">
        <v>1862</v>
      </c>
      <c r="AA76" s="12"/>
      <c r="AB76" s="12"/>
      <c r="AC76" s="12"/>
      <c r="AD76" s="12" t="s">
        <v>1151</v>
      </c>
      <c r="AE76" s="12" t="s">
        <v>1863</v>
      </c>
      <c r="AF76" s="12" t="s">
        <v>1864</v>
      </c>
      <c r="AG76" s="12" t="n">
        <f aca="false">COUNTIF(Variants!$B:$B,A76)</f>
        <v>1</v>
      </c>
      <c r="AH76" s="12" t="s">
        <v>1120</v>
      </c>
    </row>
    <row r="77" customFormat="false" ht="15" hidden="false" customHeight="false" outlineLevel="0" collapsed="false">
      <c r="A77" s="12" t="s">
        <v>1865</v>
      </c>
      <c r="B77" s="12" t="s">
        <v>1866</v>
      </c>
      <c r="C77" s="12" t="s">
        <v>1152</v>
      </c>
      <c r="D77" s="12" t="s">
        <v>1153</v>
      </c>
      <c r="E77" s="12" t="s">
        <v>1152</v>
      </c>
      <c r="F77" s="12" t="s">
        <v>402</v>
      </c>
      <c r="G77" s="12" t="s">
        <v>408</v>
      </c>
      <c r="H77" s="12" t="s">
        <v>1867</v>
      </c>
      <c r="I77" s="12" t="s">
        <v>93</v>
      </c>
      <c r="J77" s="12" t="s">
        <v>160</v>
      </c>
      <c r="K77" s="12" t="s">
        <v>701</v>
      </c>
      <c r="L77" s="12" t="s">
        <v>748</v>
      </c>
      <c r="M77" s="12" t="s">
        <v>793</v>
      </c>
      <c r="N77" s="12" t="s">
        <v>865</v>
      </c>
      <c r="O77" s="12"/>
      <c r="P77" s="12"/>
      <c r="Q77" s="12"/>
      <c r="R77" s="12"/>
      <c r="S77" s="12"/>
      <c r="T77" s="12"/>
      <c r="U77" s="12"/>
      <c r="V77" s="12" t="s">
        <v>403</v>
      </c>
      <c r="W77" s="12" t="s">
        <v>1111</v>
      </c>
      <c r="X77" s="12" t="s">
        <v>1111</v>
      </c>
      <c r="Y77" s="12"/>
      <c r="Z77" s="12"/>
      <c r="AA77" s="12" t="s">
        <v>1868</v>
      </c>
      <c r="AB77" s="12"/>
      <c r="AC77" s="12"/>
      <c r="AD77" s="12" t="s">
        <v>1155</v>
      </c>
      <c r="AE77" s="12" t="s">
        <v>1869</v>
      </c>
      <c r="AF77" s="12" t="s">
        <v>1870</v>
      </c>
      <c r="AG77" s="12" t="n">
        <f aca="false">COUNTIF(Variants!$B:$B,A77)</f>
        <v>1</v>
      </c>
      <c r="AH77" s="12" t="s">
        <v>1120</v>
      </c>
    </row>
    <row r="78" customFormat="false" ht="15" hidden="false" customHeight="false" outlineLevel="0" collapsed="false">
      <c r="A78" s="12" t="s">
        <v>1871</v>
      </c>
      <c r="B78" s="12" t="s">
        <v>1872</v>
      </c>
      <c r="C78" s="12" t="s">
        <v>1152</v>
      </c>
      <c r="D78" s="12" t="s">
        <v>1153</v>
      </c>
      <c r="E78" s="12" t="s">
        <v>1152</v>
      </c>
      <c r="F78" s="12" t="s">
        <v>402</v>
      </c>
      <c r="G78" s="12" t="s">
        <v>408</v>
      </c>
      <c r="H78" s="12" t="s">
        <v>1867</v>
      </c>
      <c r="I78" s="12" t="s">
        <v>93</v>
      </c>
      <c r="J78" s="12" t="s">
        <v>160</v>
      </c>
      <c r="K78" s="12" t="s">
        <v>701</v>
      </c>
      <c r="L78" s="12" t="s">
        <v>748</v>
      </c>
      <c r="M78" s="12" t="s">
        <v>793</v>
      </c>
      <c r="N78" s="12" t="s">
        <v>873</v>
      </c>
      <c r="O78" s="12"/>
      <c r="P78" s="12"/>
      <c r="Q78" s="12"/>
      <c r="R78" s="12"/>
      <c r="S78" s="12"/>
      <c r="T78" s="12"/>
      <c r="U78" s="12"/>
      <c r="V78" s="12" t="s">
        <v>403</v>
      </c>
      <c r="W78" s="12" t="s">
        <v>1111</v>
      </c>
      <c r="X78" s="12" t="s">
        <v>1111</v>
      </c>
      <c r="Y78" s="12"/>
      <c r="Z78" s="12"/>
      <c r="AA78" s="12" t="s">
        <v>1873</v>
      </c>
      <c r="AB78" s="12"/>
      <c r="AC78" s="12"/>
      <c r="AD78" s="12" t="s">
        <v>1155</v>
      </c>
      <c r="AE78" s="12" t="s">
        <v>1874</v>
      </c>
      <c r="AF78" s="12" t="s">
        <v>1875</v>
      </c>
      <c r="AG78" s="12" t="n">
        <f aca="false">COUNTIF(Variants!$B:$B,A78)</f>
        <v>1</v>
      </c>
      <c r="AH78" s="12" t="s">
        <v>1120</v>
      </c>
    </row>
    <row r="79" customFormat="false" ht="15" hidden="false" customHeight="false" outlineLevel="0" collapsed="false">
      <c r="A79" s="12" t="s">
        <v>1876</v>
      </c>
      <c r="B79" s="12" t="s">
        <v>1877</v>
      </c>
      <c r="C79" s="12" t="s">
        <v>1152</v>
      </c>
      <c r="D79" s="12" t="s">
        <v>1153</v>
      </c>
      <c r="E79" s="12" t="s">
        <v>1152</v>
      </c>
      <c r="F79" s="12" t="s">
        <v>402</v>
      </c>
      <c r="G79" s="12" t="s">
        <v>408</v>
      </c>
      <c r="H79" s="12" t="s">
        <v>1867</v>
      </c>
      <c r="I79" s="12" t="s">
        <v>93</v>
      </c>
      <c r="J79" s="12" t="s">
        <v>160</v>
      </c>
      <c r="K79" s="12" t="s">
        <v>701</v>
      </c>
      <c r="L79" s="12" t="s">
        <v>748</v>
      </c>
      <c r="M79" s="12" t="s">
        <v>793</v>
      </c>
      <c r="N79" s="12" t="s">
        <v>873</v>
      </c>
      <c r="O79" s="12"/>
      <c r="P79" s="12"/>
      <c r="Q79" s="12"/>
      <c r="R79" s="12"/>
      <c r="S79" s="12"/>
      <c r="T79" s="12"/>
      <c r="U79" s="12"/>
      <c r="V79" s="12" t="s">
        <v>403</v>
      </c>
      <c r="W79" s="12" t="s">
        <v>1111</v>
      </c>
      <c r="X79" s="12" t="s">
        <v>1111</v>
      </c>
      <c r="Y79" s="12"/>
      <c r="Z79" s="12"/>
      <c r="AA79" s="12" t="s">
        <v>1878</v>
      </c>
      <c r="AB79" s="12"/>
      <c r="AC79" s="12"/>
      <c r="AD79" s="12" t="s">
        <v>1155</v>
      </c>
      <c r="AE79" s="12" t="s">
        <v>1879</v>
      </c>
      <c r="AF79" s="12" t="s">
        <v>1880</v>
      </c>
      <c r="AG79" s="12" t="n">
        <f aca="false">COUNTIF(Variants!$B:$B,A79)</f>
        <v>1</v>
      </c>
      <c r="AH79" s="12" t="s">
        <v>1120</v>
      </c>
    </row>
    <row r="80" customFormat="false" ht="15" hidden="false" customHeight="false" outlineLevel="0" collapsed="false">
      <c r="A80" s="12" t="s">
        <v>1881</v>
      </c>
      <c r="B80" s="12" t="s">
        <v>1882</v>
      </c>
      <c r="C80" s="12" t="s">
        <v>1152</v>
      </c>
      <c r="D80" s="12" t="s">
        <v>1153</v>
      </c>
      <c r="E80" s="12" t="s">
        <v>1152</v>
      </c>
      <c r="F80" s="12" t="s">
        <v>402</v>
      </c>
      <c r="G80" s="12" t="s">
        <v>408</v>
      </c>
      <c r="H80" s="12" t="s">
        <v>1867</v>
      </c>
      <c r="I80" s="12" t="s">
        <v>93</v>
      </c>
      <c r="J80" s="12" t="s">
        <v>160</v>
      </c>
      <c r="K80" s="12" t="s">
        <v>701</v>
      </c>
      <c r="L80" s="12" t="s">
        <v>748</v>
      </c>
      <c r="M80" s="12" t="s">
        <v>793</v>
      </c>
      <c r="N80" s="12" t="s">
        <v>865</v>
      </c>
      <c r="O80" s="12"/>
      <c r="P80" s="12"/>
      <c r="Q80" s="12"/>
      <c r="R80" s="12"/>
      <c r="S80" s="12"/>
      <c r="T80" s="12"/>
      <c r="U80" s="12"/>
      <c r="V80" s="12" t="s">
        <v>403</v>
      </c>
      <c r="W80" s="12" t="s">
        <v>1111</v>
      </c>
      <c r="X80" s="12" t="s">
        <v>1111</v>
      </c>
      <c r="Y80" s="12"/>
      <c r="Z80" s="12"/>
      <c r="AA80" s="12" t="s">
        <v>1883</v>
      </c>
      <c r="AB80" s="12"/>
      <c r="AC80" s="12"/>
      <c r="AD80" s="12" t="s">
        <v>1155</v>
      </c>
      <c r="AE80" s="12" t="s">
        <v>1884</v>
      </c>
      <c r="AF80" s="12" t="s">
        <v>1885</v>
      </c>
      <c r="AG80" s="12" t="n">
        <f aca="false">COUNTIF(Variants!$B:$B,A80)</f>
        <v>1</v>
      </c>
      <c r="AH80" s="12" t="s">
        <v>1120</v>
      </c>
    </row>
    <row r="81" customFormat="false" ht="15" hidden="false" customHeight="false" outlineLevel="0" collapsed="false">
      <c r="A81" s="12" t="s">
        <v>1886</v>
      </c>
      <c r="B81" s="12" t="s">
        <v>1887</v>
      </c>
      <c r="C81" s="12" t="s">
        <v>1152</v>
      </c>
      <c r="D81" s="12" t="s">
        <v>1153</v>
      </c>
      <c r="E81" s="12" t="s">
        <v>1152</v>
      </c>
      <c r="F81" s="12" t="s">
        <v>402</v>
      </c>
      <c r="G81" s="12" t="s">
        <v>408</v>
      </c>
      <c r="H81" s="12" t="s">
        <v>1867</v>
      </c>
      <c r="I81" s="12" t="s">
        <v>93</v>
      </c>
      <c r="J81" s="12" t="s">
        <v>160</v>
      </c>
      <c r="K81" s="12" t="s">
        <v>701</v>
      </c>
      <c r="L81" s="12" t="s">
        <v>748</v>
      </c>
      <c r="M81" s="12" t="s">
        <v>793</v>
      </c>
      <c r="N81" s="12" t="s">
        <v>873</v>
      </c>
      <c r="O81" s="12"/>
      <c r="P81" s="12"/>
      <c r="Q81" s="12"/>
      <c r="R81" s="12"/>
      <c r="S81" s="12"/>
      <c r="T81" s="12"/>
      <c r="U81" s="12"/>
      <c r="V81" s="12" t="s">
        <v>403</v>
      </c>
      <c r="W81" s="12" t="s">
        <v>1111</v>
      </c>
      <c r="X81" s="12" t="s">
        <v>1111</v>
      </c>
      <c r="Y81" s="12"/>
      <c r="Z81" s="12"/>
      <c r="AA81" s="12" t="s">
        <v>1888</v>
      </c>
      <c r="AB81" s="12"/>
      <c r="AC81" s="12"/>
      <c r="AD81" s="12" t="s">
        <v>1155</v>
      </c>
      <c r="AE81" s="12" t="s">
        <v>1889</v>
      </c>
      <c r="AF81" s="12" t="s">
        <v>1890</v>
      </c>
      <c r="AG81" s="12" t="n">
        <f aca="false">COUNTIF(Variants!$B:$B,A81)</f>
        <v>1</v>
      </c>
      <c r="AH81" s="12" t="s">
        <v>1120</v>
      </c>
    </row>
    <row r="82" customFormat="false" ht="15" hidden="false" customHeight="false" outlineLevel="0" collapsed="false">
      <c r="A82" s="12" t="s">
        <v>1891</v>
      </c>
      <c r="B82" s="12" t="s">
        <v>1892</v>
      </c>
      <c r="C82" s="12" t="s">
        <v>1152</v>
      </c>
      <c r="D82" s="12" t="s">
        <v>1153</v>
      </c>
      <c r="E82" s="12" t="s">
        <v>1152</v>
      </c>
      <c r="F82" s="12" t="s">
        <v>402</v>
      </c>
      <c r="G82" s="12" t="s">
        <v>408</v>
      </c>
      <c r="H82" s="12" t="s">
        <v>1867</v>
      </c>
      <c r="I82" s="12" t="s">
        <v>137</v>
      </c>
      <c r="J82" s="12" t="s">
        <v>160</v>
      </c>
      <c r="K82" s="12" t="s">
        <v>701</v>
      </c>
      <c r="L82" s="12" t="s">
        <v>748</v>
      </c>
      <c r="M82" s="12" t="s">
        <v>793</v>
      </c>
      <c r="N82" s="12" t="s">
        <v>873</v>
      </c>
      <c r="O82" s="12"/>
      <c r="P82" s="12"/>
      <c r="Q82" s="12"/>
      <c r="R82" s="12"/>
      <c r="S82" s="12"/>
      <c r="T82" s="12"/>
      <c r="U82" s="12"/>
      <c r="V82" s="12" t="s">
        <v>403</v>
      </c>
      <c r="W82" s="12" t="s">
        <v>1111</v>
      </c>
      <c r="X82" s="12" t="s">
        <v>1111</v>
      </c>
      <c r="Y82" s="12"/>
      <c r="Z82" s="12"/>
      <c r="AA82" s="12" t="s">
        <v>1893</v>
      </c>
      <c r="AB82" s="12"/>
      <c r="AC82" s="12"/>
      <c r="AD82" s="12" t="s">
        <v>1155</v>
      </c>
      <c r="AE82" s="12" t="s">
        <v>1894</v>
      </c>
      <c r="AF82" s="12" t="s">
        <v>1895</v>
      </c>
      <c r="AG82" s="12" t="n">
        <f aca="false">COUNTIF(Variants!$B:$B,A82)</f>
        <v>1</v>
      </c>
      <c r="AH82" s="12" t="s">
        <v>1120</v>
      </c>
    </row>
    <row r="83" customFormat="false" ht="15" hidden="false" customHeight="false" outlineLevel="0" collapsed="false">
      <c r="A83" s="12" t="s">
        <v>1896</v>
      </c>
      <c r="B83" s="12" t="s">
        <v>1897</v>
      </c>
      <c r="C83" s="12" t="s">
        <v>1152</v>
      </c>
      <c r="D83" s="12" t="s">
        <v>1153</v>
      </c>
      <c r="E83" s="12" t="s">
        <v>1152</v>
      </c>
      <c r="F83" s="12" t="s">
        <v>402</v>
      </c>
      <c r="G83" s="12" t="s">
        <v>412</v>
      </c>
      <c r="H83" s="12" t="s">
        <v>1898</v>
      </c>
      <c r="I83" s="12" t="s">
        <v>1648</v>
      </c>
      <c r="J83" s="12" t="s">
        <v>160</v>
      </c>
      <c r="K83" s="12" t="s">
        <v>701</v>
      </c>
      <c r="L83" s="12" t="s">
        <v>748</v>
      </c>
      <c r="M83" s="12" t="s">
        <v>793</v>
      </c>
      <c r="N83" s="12" t="s">
        <v>865</v>
      </c>
      <c r="O83" s="12"/>
      <c r="P83" s="12"/>
      <c r="Q83" s="12"/>
      <c r="R83" s="12"/>
      <c r="S83" s="12"/>
      <c r="T83" s="12"/>
      <c r="U83" s="12"/>
      <c r="V83" s="12" t="s">
        <v>403</v>
      </c>
      <c r="W83" s="12" t="s">
        <v>1111</v>
      </c>
      <c r="X83" s="12" t="s">
        <v>1111</v>
      </c>
      <c r="Y83" s="12"/>
      <c r="Z83" s="12"/>
      <c r="AA83" s="12" t="s">
        <v>1899</v>
      </c>
      <c r="AB83" s="12" t="s">
        <v>937</v>
      </c>
      <c r="AC83" s="12"/>
      <c r="AD83" s="12" t="s">
        <v>1155</v>
      </c>
      <c r="AE83" s="12" t="s">
        <v>1900</v>
      </c>
      <c r="AF83" s="12" t="s">
        <v>1901</v>
      </c>
      <c r="AG83" s="12" t="n">
        <f aca="false">COUNTIF(Variants!$B:$B,A83)</f>
        <v>1</v>
      </c>
      <c r="AH83" s="12" t="s">
        <v>1120</v>
      </c>
    </row>
    <row r="84" customFormat="false" ht="15" hidden="false" customHeight="false" outlineLevel="0" collapsed="false">
      <c r="A84" s="12" t="s">
        <v>1902</v>
      </c>
      <c r="B84" s="12" t="s">
        <v>1903</v>
      </c>
      <c r="C84" s="12" t="s">
        <v>1152</v>
      </c>
      <c r="D84" s="12" t="s">
        <v>1153</v>
      </c>
      <c r="E84" s="12" t="s">
        <v>1152</v>
      </c>
      <c r="F84" s="12" t="s">
        <v>402</v>
      </c>
      <c r="G84" s="12" t="s">
        <v>412</v>
      </c>
      <c r="H84" s="12" t="s">
        <v>1898</v>
      </c>
      <c r="I84" s="12" t="s">
        <v>93</v>
      </c>
      <c r="J84" s="12" t="s">
        <v>160</v>
      </c>
      <c r="K84" s="12" t="s">
        <v>701</v>
      </c>
      <c r="L84" s="12" t="s">
        <v>748</v>
      </c>
      <c r="M84" s="12" t="s">
        <v>793</v>
      </c>
      <c r="N84" s="12" t="s">
        <v>865</v>
      </c>
      <c r="O84" s="12"/>
      <c r="P84" s="12"/>
      <c r="Q84" s="12"/>
      <c r="R84" s="12"/>
      <c r="S84" s="12"/>
      <c r="T84" s="12"/>
      <c r="U84" s="12"/>
      <c r="V84" s="12" t="s">
        <v>403</v>
      </c>
      <c r="W84" s="12" t="s">
        <v>1111</v>
      </c>
      <c r="X84" s="12" t="s">
        <v>1111</v>
      </c>
      <c r="Y84" s="12"/>
      <c r="Z84" s="12"/>
      <c r="AA84" s="12" t="s">
        <v>1904</v>
      </c>
      <c r="AB84" s="12" t="s">
        <v>943</v>
      </c>
      <c r="AC84" s="12"/>
      <c r="AD84" s="12" t="s">
        <v>1110</v>
      </c>
      <c r="AE84" s="12" t="s">
        <v>1905</v>
      </c>
      <c r="AF84" s="12" t="s">
        <v>1906</v>
      </c>
      <c r="AG84" s="12" t="n">
        <f aca="false">COUNTIF(Variants!$B:$B,A84)</f>
        <v>1</v>
      </c>
      <c r="AH84" s="12" t="s">
        <v>1120</v>
      </c>
    </row>
    <row r="85" customFormat="false" ht="15" hidden="false" customHeight="false" outlineLevel="0" collapsed="false">
      <c r="A85" s="12" t="s">
        <v>1907</v>
      </c>
      <c r="B85" s="12" t="s">
        <v>1908</v>
      </c>
      <c r="C85" s="12" t="s">
        <v>1152</v>
      </c>
      <c r="D85" s="12" t="s">
        <v>1153</v>
      </c>
      <c r="E85" s="12" t="s">
        <v>1152</v>
      </c>
      <c r="F85" s="12" t="s">
        <v>402</v>
      </c>
      <c r="G85" s="12" t="s">
        <v>417</v>
      </c>
      <c r="H85" s="12" t="s">
        <v>1909</v>
      </c>
      <c r="I85" s="12" t="s">
        <v>99</v>
      </c>
      <c r="J85" s="12" t="s">
        <v>160</v>
      </c>
      <c r="K85" s="12" t="s">
        <v>701</v>
      </c>
      <c r="L85" s="12" t="s">
        <v>748</v>
      </c>
      <c r="M85" s="12" t="s">
        <v>793</v>
      </c>
      <c r="N85" s="12" t="s">
        <v>802</v>
      </c>
      <c r="O85" s="12"/>
      <c r="P85" s="12"/>
      <c r="Q85" s="12"/>
      <c r="R85" s="12"/>
      <c r="S85" s="12"/>
      <c r="T85" s="12"/>
      <c r="U85" s="12"/>
      <c r="V85" s="12" t="s">
        <v>403</v>
      </c>
      <c r="W85" s="12" t="s">
        <v>1111</v>
      </c>
      <c r="X85" s="12" t="s">
        <v>1111</v>
      </c>
      <c r="Y85" s="12"/>
      <c r="Z85" s="12"/>
      <c r="AA85" s="12" t="s">
        <v>1910</v>
      </c>
      <c r="AB85" s="12"/>
      <c r="AC85" s="12"/>
      <c r="AD85" s="12" t="s">
        <v>1155</v>
      </c>
      <c r="AE85" s="12" t="s">
        <v>1911</v>
      </c>
      <c r="AF85" s="12" t="s">
        <v>1912</v>
      </c>
      <c r="AG85" s="12" t="n">
        <f aca="false">COUNTIF(Variants!$B:$B,A85)</f>
        <v>1</v>
      </c>
      <c r="AH85" s="12" t="s">
        <v>1120</v>
      </c>
    </row>
    <row r="86" customFormat="false" ht="15" hidden="false" customHeight="false" outlineLevel="0" collapsed="false">
      <c r="A86" s="12" t="s">
        <v>1913</v>
      </c>
      <c r="B86" s="12" t="s">
        <v>1914</v>
      </c>
      <c r="C86" s="12" t="s">
        <v>1152</v>
      </c>
      <c r="D86" s="12" t="s">
        <v>1153</v>
      </c>
      <c r="E86" s="12" t="s">
        <v>1152</v>
      </c>
      <c r="F86" s="12" t="s">
        <v>402</v>
      </c>
      <c r="G86" s="12" t="s">
        <v>417</v>
      </c>
      <c r="H86" s="12" t="s">
        <v>1909</v>
      </c>
      <c r="I86" s="12" t="s">
        <v>99</v>
      </c>
      <c r="J86" s="12" t="s">
        <v>160</v>
      </c>
      <c r="K86" s="12" t="s">
        <v>701</v>
      </c>
      <c r="L86" s="12" t="s">
        <v>748</v>
      </c>
      <c r="M86" s="12" t="s">
        <v>793</v>
      </c>
      <c r="N86" s="12" t="s">
        <v>802</v>
      </c>
      <c r="O86" s="12"/>
      <c r="P86" s="12"/>
      <c r="Q86" s="12"/>
      <c r="R86" s="12"/>
      <c r="S86" s="12"/>
      <c r="T86" s="12"/>
      <c r="U86" s="12"/>
      <c r="V86" s="12" t="s">
        <v>403</v>
      </c>
      <c r="W86" s="12" t="s">
        <v>1111</v>
      </c>
      <c r="X86" s="12" t="s">
        <v>1111</v>
      </c>
      <c r="Y86" s="12"/>
      <c r="Z86" s="12"/>
      <c r="AA86" s="12" t="s">
        <v>1915</v>
      </c>
      <c r="AB86" s="12"/>
      <c r="AC86" s="12"/>
      <c r="AD86" s="12" t="s">
        <v>1155</v>
      </c>
      <c r="AE86" s="12" t="s">
        <v>1916</v>
      </c>
      <c r="AF86" s="12" t="s">
        <v>1917</v>
      </c>
      <c r="AG86" s="12" t="n">
        <f aca="false">COUNTIF(Variants!$B:$B,A86)</f>
        <v>1</v>
      </c>
      <c r="AH86" s="12" t="s">
        <v>1120</v>
      </c>
    </row>
    <row r="87" customFormat="false" ht="15" hidden="false" customHeight="false" outlineLevel="0" collapsed="false">
      <c r="A87" s="12" t="s">
        <v>1918</v>
      </c>
      <c r="B87" s="12" t="s">
        <v>1919</v>
      </c>
      <c r="C87" s="12" t="s">
        <v>1152</v>
      </c>
      <c r="D87" s="12" t="s">
        <v>1153</v>
      </c>
      <c r="E87" s="12" t="s">
        <v>1152</v>
      </c>
      <c r="F87" s="12" t="s">
        <v>402</v>
      </c>
      <c r="G87" s="12" t="s">
        <v>421</v>
      </c>
      <c r="H87" s="12" t="s">
        <v>1920</v>
      </c>
      <c r="I87" s="12" t="s">
        <v>93</v>
      </c>
      <c r="J87" s="12" t="s">
        <v>160</v>
      </c>
      <c r="K87" s="12" t="s">
        <v>701</v>
      </c>
      <c r="L87" s="12" t="s">
        <v>748</v>
      </c>
      <c r="M87" s="12" t="s">
        <v>793</v>
      </c>
      <c r="N87" s="12" t="s">
        <v>868</v>
      </c>
      <c r="O87" s="12"/>
      <c r="P87" s="12"/>
      <c r="Q87" s="12"/>
      <c r="R87" s="12"/>
      <c r="S87" s="12"/>
      <c r="T87" s="12"/>
      <c r="U87" s="12"/>
      <c r="V87" s="12" t="s">
        <v>403</v>
      </c>
      <c r="W87" s="12" t="s">
        <v>1111</v>
      </c>
      <c r="X87" s="12" t="s">
        <v>1111</v>
      </c>
      <c r="Y87" s="12"/>
      <c r="Z87" s="12"/>
      <c r="AA87" s="12" t="s">
        <v>1921</v>
      </c>
      <c r="AB87" s="12" t="s">
        <v>940</v>
      </c>
      <c r="AC87" s="12"/>
      <c r="AD87" s="12" t="s">
        <v>1155</v>
      </c>
      <c r="AE87" s="12" t="s">
        <v>1922</v>
      </c>
      <c r="AF87" s="12" t="s">
        <v>1923</v>
      </c>
      <c r="AG87" s="12" t="n">
        <f aca="false">COUNTIF(Variants!$B:$B,A87)</f>
        <v>1</v>
      </c>
      <c r="AH87" s="12" t="s">
        <v>1120</v>
      </c>
    </row>
    <row r="88" customFormat="false" ht="15" hidden="false" customHeight="false" outlineLevel="0" collapsed="false">
      <c r="A88" s="12" t="s">
        <v>1924</v>
      </c>
      <c r="B88" s="12" t="s">
        <v>1925</v>
      </c>
      <c r="C88" s="12" t="s">
        <v>1152</v>
      </c>
      <c r="D88" s="12" t="s">
        <v>1153</v>
      </c>
      <c r="E88" s="12" t="s">
        <v>1152</v>
      </c>
      <c r="F88" s="12" t="s">
        <v>402</v>
      </c>
      <c r="G88" s="12" t="s">
        <v>421</v>
      </c>
      <c r="H88" s="12" t="s">
        <v>1920</v>
      </c>
      <c r="I88" s="12" t="s">
        <v>93</v>
      </c>
      <c r="J88" s="12" t="s">
        <v>160</v>
      </c>
      <c r="K88" s="12" t="s">
        <v>701</v>
      </c>
      <c r="L88" s="12" t="s">
        <v>748</v>
      </c>
      <c r="M88" s="12" t="s">
        <v>793</v>
      </c>
      <c r="N88" s="12" t="s">
        <v>868</v>
      </c>
      <c r="O88" s="12"/>
      <c r="P88" s="12"/>
      <c r="Q88" s="12"/>
      <c r="R88" s="12"/>
      <c r="S88" s="12"/>
      <c r="T88" s="12"/>
      <c r="U88" s="12"/>
      <c r="V88" s="12" t="s">
        <v>403</v>
      </c>
      <c r="W88" s="12" t="s">
        <v>1111</v>
      </c>
      <c r="X88" s="12" t="s">
        <v>1111</v>
      </c>
      <c r="Y88" s="12"/>
      <c r="Z88" s="12"/>
      <c r="AA88" s="12" t="s">
        <v>1926</v>
      </c>
      <c r="AB88" s="12" t="s">
        <v>940</v>
      </c>
      <c r="AC88" s="12"/>
      <c r="AD88" s="12" t="s">
        <v>1155</v>
      </c>
      <c r="AE88" s="12" t="s">
        <v>1922</v>
      </c>
      <c r="AF88" s="12" t="s">
        <v>1927</v>
      </c>
      <c r="AG88" s="12" t="n">
        <f aca="false">COUNTIF(Variants!$B:$B,A88)</f>
        <v>1</v>
      </c>
      <c r="AH88" s="12" t="s">
        <v>1120</v>
      </c>
    </row>
    <row r="89" customFormat="false" ht="15" hidden="false" customHeight="false" outlineLevel="0" collapsed="false">
      <c r="A89" s="12" t="s">
        <v>1928</v>
      </c>
      <c r="B89" s="12" t="s">
        <v>1929</v>
      </c>
      <c r="C89" s="12" t="s">
        <v>1152</v>
      </c>
      <c r="D89" s="12" t="s">
        <v>1153</v>
      </c>
      <c r="E89" s="12" t="s">
        <v>1152</v>
      </c>
      <c r="F89" s="12" t="s">
        <v>402</v>
      </c>
      <c r="G89" s="12" t="s">
        <v>425</v>
      </c>
      <c r="H89" s="12" t="s">
        <v>1930</v>
      </c>
      <c r="I89" s="12" t="s">
        <v>99</v>
      </c>
      <c r="J89" s="12" t="s">
        <v>160</v>
      </c>
      <c r="K89" s="12" t="s">
        <v>701</v>
      </c>
      <c r="L89" s="12" t="s">
        <v>748</v>
      </c>
      <c r="M89" s="12" t="s">
        <v>793</v>
      </c>
      <c r="N89" s="12" t="s">
        <v>802</v>
      </c>
      <c r="O89" s="12"/>
      <c r="P89" s="12"/>
      <c r="Q89" s="12"/>
      <c r="R89" s="12"/>
      <c r="S89" s="12"/>
      <c r="T89" s="12"/>
      <c r="U89" s="12"/>
      <c r="V89" s="12" t="s">
        <v>403</v>
      </c>
      <c r="W89" s="12" t="s">
        <v>1111</v>
      </c>
      <c r="X89" s="12" t="s">
        <v>1111</v>
      </c>
      <c r="Y89" s="12"/>
      <c r="Z89" s="12"/>
      <c r="AA89" s="12" t="s">
        <v>1931</v>
      </c>
      <c r="AB89" s="12"/>
      <c r="AC89" s="12"/>
      <c r="AD89" s="12" t="s">
        <v>1110</v>
      </c>
      <c r="AE89" s="12" t="s">
        <v>1932</v>
      </c>
      <c r="AF89" s="12" t="s">
        <v>1933</v>
      </c>
      <c r="AG89" s="12" t="n">
        <f aca="false">COUNTIF(Variants!$B:$B,A89)</f>
        <v>1</v>
      </c>
      <c r="AH89" s="12" t="s">
        <v>1120</v>
      </c>
    </row>
    <row r="90" customFormat="false" ht="15" hidden="false" customHeight="false" outlineLevel="0" collapsed="false">
      <c r="A90" s="12" t="s">
        <v>1934</v>
      </c>
      <c r="B90" s="12" t="s">
        <v>1935</v>
      </c>
      <c r="C90" s="12" t="s">
        <v>1152</v>
      </c>
      <c r="D90" s="12" t="s">
        <v>1153</v>
      </c>
      <c r="E90" s="12" t="s">
        <v>1152</v>
      </c>
      <c r="F90" s="12" t="s">
        <v>402</v>
      </c>
      <c r="G90" s="12" t="s">
        <v>429</v>
      </c>
      <c r="H90" s="12" t="s">
        <v>1936</v>
      </c>
      <c r="I90" s="12" t="s">
        <v>1844</v>
      </c>
      <c r="J90" s="12" t="s">
        <v>160</v>
      </c>
      <c r="K90" s="12" t="s">
        <v>701</v>
      </c>
      <c r="L90" s="12" t="s">
        <v>748</v>
      </c>
      <c r="M90" s="12" t="s">
        <v>793</v>
      </c>
      <c r="N90" s="12" t="s">
        <v>859</v>
      </c>
      <c r="O90" s="12"/>
      <c r="P90" s="12"/>
      <c r="Q90" s="12"/>
      <c r="R90" s="12"/>
      <c r="S90" s="12"/>
      <c r="T90" s="12"/>
      <c r="U90" s="12"/>
      <c r="V90" s="12" t="s">
        <v>403</v>
      </c>
      <c r="W90" s="12" t="s">
        <v>1111</v>
      </c>
      <c r="X90" s="12" t="s">
        <v>1111</v>
      </c>
      <c r="Y90" s="12"/>
      <c r="Z90" s="12"/>
      <c r="AA90" s="12" t="s">
        <v>1937</v>
      </c>
      <c r="AB90" s="12"/>
      <c r="AC90" s="12"/>
      <c r="AD90" s="12" t="s">
        <v>1155</v>
      </c>
      <c r="AE90" s="12" t="s">
        <v>1938</v>
      </c>
      <c r="AF90" s="12" t="s">
        <v>1939</v>
      </c>
      <c r="AG90" s="12" t="n">
        <f aca="false">COUNTIF(Variants!$B:$B,A90)</f>
        <v>1</v>
      </c>
      <c r="AH90" s="12" t="s">
        <v>1120</v>
      </c>
    </row>
    <row r="91" customFormat="false" ht="15" hidden="false" customHeight="false" outlineLevel="0" collapsed="false">
      <c r="A91" s="12" t="s">
        <v>1940</v>
      </c>
      <c r="B91" s="12" t="s">
        <v>1941</v>
      </c>
      <c r="C91" s="12" t="s">
        <v>1152</v>
      </c>
      <c r="D91" s="12" t="s">
        <v>1153</v>
      </c>
      <c r="E91" s="12" t="s">
        <v>1152</v>
      </c>
      <c r="F91" s="12" t="s">
        <v>402</v>
      </c>
      <c r="G91" s="12" t="s">
        <v>429</v>
      </c>
      <c r="H91" s="12" t="s">
        <v>1936</v>
      </c>
      <c r="I91" s="12" t="s">
        <v>1844</v>
      </c>
      <c r="J91" s="12" t="s">
        <v>160</v>
      </c>
      <c r="K91" s="12" t="s">
        <v>701</v>
      </c>
      <c r="L91" s="12" t="s">
        <v>748</v>
      </c>
      <c r="M91" s="12" t="s">
        <v>793</v>
      </c>
      <c r="N91" s="12" t="s">
        <v>873</v>
      </c>
      <c r="O91" s="12"/>
      <c r="P91" s="12"/>
      <c r="Q91" s="12"/>
      <c r="R91" s="12"/>
      <c r="S91" s="12"/>
      <c r="T91" s="12"/>
      <c r="U91" s="12"/>
      <c r="V91" s="12" t="s">
        <v>403</v>
      </c>
      <c r="W91" s="12" t="s">
        <v>1111</v>
      </c>
      <c r="X91" s="12" t="s">
        <v>1111</v>
      </c>
      <c r="Y91" s="12"/>
      <c r="Z91" s="12"/>
      <c r="AA91" s="12" t="s">
        <v>1942</v>
      </c>
      <c r="AB91" s="12"/>
      <c r="AC91" s="12"/>
      <c r="AD91" s="12" t="s">
        <v>1155</v>
      </c>
      <c r="AE91" s="12" t="s">
        <v>1938</v>
      </c>
      <c r="AF91" s="12" t="s">
        <v>1943</v>
      </c>
      <c r="AG91" s="12" t="n">
        <f aca="false">COUNTIF(Variants!$B:$B,A91)</f>
        <v>1</v>
      </c>
      <c r="AH91" s="12" t="s">
        <v>1120</v>
      </c>
    </row>
    <row r="92" customFormat="false" ht="15" hidden="false" customHeight="false" outlineLevel="0" collapsed="false">
      <c r="A92" s="12" t="s">
        <v>1944</v>
      </c>
      <c r="B92" s="12" t="s">
        <v>1945</v>
      </c>
      <c r="C92" s="12" t="s">
        <v>1152</v>
      </c>
      <c r="D92" s="12" t="s">
        <v>1153</v>
      </c>
      <c r="E92" s="12" t="s">
        <v>1152</v>
      </c>
      <c r="F92" s="12" t="s">
        <v>402</v>
      </c>
      <c r="G92" s="12" t="s">
        <v>429</v>
      </c>
      <c r="H92" s="12" t="s">
        <v>1936</v>
      </c>
      <c r="I92" s="12" t="s">
        <v>1700</v>
      </c>
      <c r="J92" s="12" t="s">
        <v>160</v>
      </c>
      <c r="K92" s="12" t="s">
        <v>701</v>
      </c>
      <c r="L92" s="12" t="s">
        <v>748</v>
      </c>
      <c r="M92" s="12" t="s">
        <v>793</v>
      </c>
      <c r="N92" s="12" t="s">
        <v>826</v>
      </c>
      <c r="O92" s="12"/>
      <c r="P92" s="12"/>
      <c r="Q92" s="12"/>
      <c r="R92" s="12"/>
      <c r="S92" s="12"/>
      <c r="T92" s="12"/>
      <c r="U92" s="12"/>
      <c r="V92" s="12" t="s">
        <v>403</v>
      </c>
      <c r="W92" s="12" t="s">
        <v>1111</v>
      </c>
      <c r="X92" s="12" t="s">
        <v>1111</v>
      </c>
      <c r="Y92" s="12"/>
      <c r="Z92" s="12"/>
      <c r="AA92" s="12" t="s">
        <v>1946</v>
      </c>
      <c r="AB92" s="12"/>
      <c r="AC92" s="12"/>
      <c r="AD92" s="12" t="s">
        <v>1155</v>
      </c>
      <c r="AE92" s="12" t="s">
        <v>1947</v>
      </c>
      <c r="AF92" s="12" t="s">
        <v>1948</v>
      </c>
      <c r="AG92" s="12" t="n">
        <f aca="false">COUNTIF(Variants!$B:$B,A92)</f>
        <v>1</v>
      </c>
      <c r="AH92" s="12" t="s">
        <v>1120</v>
      </c>
    </row>
    <row r="93" customFormat="false" ht="15" hidden="false" customHeight="false" outlineLevel="0" collapsed="false">
      <c r="A93" s="12" t="s">
        <v>1949</v>
      </c>
      <c r="B93" s="12" t="s">
        <v>1950</v>
      </c>
      <c r="C93" s="12" t="s">
        <v>1152</v>
      </c>
      <c r="D93" s="12" t="s">
        <v>1153</v>
      </c>
      <c r="E93" s="12" t="s">
        <v>1152</v>
      </c>
      <c r="F93" s="12" t="s">
        <v>402</v>
      </c>
      <c r="G93" s="12" t="s">
        <v>429</v>
      </c>
      <c r="H93" s="12" t="s">
        <v>1936</v>
      </c>
      <c r="I93" s="12" t="s">
        <v>1590</v>
      </c>
      <c r="J93" s="12" t="s">
        <v>160</v>
      </c>
      <c r="K93" s="12" t="s">
        <v>701</v>
      </c>
      <c r="L93" s="12" t="s">
        <v>748</v>
      </c>
      <c r="M93" s="12" t="s">
        <v>793</v>
      </c>
      <c r="N93" s="12" t="s">
        <v>873</v>
      </c>
      <c r="O93" s="12"/>
      <c r="P93" s="12"/>
      <c r="Q93" s="12"/>
      <c r="R93" s="12"/>
      <c r="S93" s="12"/>
      <c r="T93" s="12"/>
      <c r="U93" s="12"/>
      <c r="V93" s="12" t="s">
        <v>403</v>
      </c>
      <c r="W93" s="12" t="s">
        <v>1111</v>
      </c>
      <c r="X93" s="12" t="s">
        <v>1111</v>
      </c>
      <c r="Y93" s="12"/>
      <c r="Z93" s="12"/>
      <c r="AA93" s="12" t="s">
        <v>1951</v>
      </c>
      <c r="AB93" s="12"/>
      <c r="AC93" s="12"/>
      <c r="AD93" s="12" t="s">
        <v>1155</v>
      </c>
      <c r="AE93" s="12" t="s">
        <v>1952</v>
      </c>
      <c r="AF93" s="12" t="s">
        <v>1953</v>
      </c>
      <c r="AG93" s="12" t="n">
        <f aca="false">COUNTIF(Variants!$B:$B,A93)</f>
        <v>1</v>
      </c>
      <c r="AH93" s="12" t="s">
        <v>1120</v>
      </c>
    </row>
    <row r="94" customFormat="false" ht="15" hidden="false" customHeight="false" outlineLevel="0" collapsed="false">
      <c r="A94" s="12" t="s">
        <v>1954</v>
      </c>
      <c r="B94" s="12" t="s">
        <v>1955</v>
      </c>
      <c r="C94" s="12" t="s">
        <v>1152</v>
      </c>
      <c r="D94" s="12" t="s">
        <v>1153</v>
      </c>
      <c r="E94" s="12" t="s">
        <v>1152</v>
      </c>
      <c r="F94" s="12" t="s">
        <v>402</v>
      </c>
      <c r="G94" s="12" t="s">
        <v>434</v>
      </c>
      <c r="H94" s="12" t="s">
        <v>1956</v>
      </c>
      <c r="I94" s="12" t="s">
        <v>113</v>
      </c>
      <c r="J94" s="12" t="s">
        <v>160</v>
      </c>
      <c r="K94" s="12" t="s">
        <v>701</v>
      </c>
      <c r="L94" s="12" t="s">
        <v>748</v>
      </c>
      <c r="M94" s="12" t="s">
        <v>793</v>
      </c>
      <c r="N94" s="12" t="s">
        <v>805</v>
      </c>
      <c r="O94" s="12"/>
      <c r="P94" s="12"/>
      <c r="Q94" s="12"/>
      <c r="R94" s="12"/>
      <c r="S94" s="12"/>
      <c r="T94" s="12"/>
      <c r="U94" s="12"/>
      <c r="V94" s="12" t="s">
        <v>403</v>
      </c>
      <c r="W94" s="12" t="s">
        <v>1111</v>
      </c>
      <c r="X94" s="12" t="s">
        <v>1111</v>
      </c>
      <c r="Y94" s="12"/>
      <c r="Z94" s="12"/>
      <c r="AA94" s="12" t="s">
        <v>1957</v>
      </c>
      <c r="AB94" s="12"/>
      <c r="AC94" s="12"/>
      <c r="AD94" s="12" t="s">
        <v>1155</v>
      </c>
      <c r="AE94" s="12" t="s">
        <v>1958</v>
      </c>
      <c r="AF94" s="12" t="s">
        <v>1959</v>
      </c>
      <c r="AG94" s="12" t="n">
        <f aca="false">COUNTIF(Variants!$B:$B,A94)</f>
        <v>1</v>
      </c>
      <c r="AH94" s="12" t="s">
        <v>1120</v>
      </c>
    </row>
    <row r="95" customFormat="false" ht="15" hidden="false" customHeight="false" outlineLevel="0" collapsed="false">
      <c r="A95" s="12" t="s">
        <v>1960</v>
      </c>
      <c r="B95" s="12" t="s">
        <v>1961</v>
      </c>
      <c r="C95" s="12" t="s">
        <v>1152</v>
      </c>
      <c r="D95" s="12" t="s">
        <v>1153</v>
      </c>
      <c r="E95" s="12" t="s">
        <v>1152</v>
      </c>
      <c r="F95" s="12" t="s">
        <v>402</v>
      </c>
      <c r="G95" s="12" t="s">
        <v>438</v>
      </c>
      <c r="H95" s="12" t="s">
        <v>1962</v>
      </c>
      <c r="I95" s="12" t="s">
        <v>1963</v>
      </c>
      <c r="J95" s="12" t="s">
        <v>160</v>
      </c>
      <c r="K95" s="12" t="s">
        <v>701</v>
      </c>
      <c r="L95" s="12" t="s">
        <v>748</v>
      </c>
      <c r="M95" s="12" t="s">
        <v>793</v>
      </c>
      <c r="N95" s="12" t="s">
        <v>873</v>
      </c>
      <c r="O95" s="12"/>
      <c r="P95" s="12"/>
      <c r="Q95" s="12"/>
      <c r="R95" s="12"/>
      <c r="S95" s="12"/>
      <c r="T95" s="12"/>
      <c r="U95" s="12"/>
      <c r="V95" s="12" t="s">
        <v>403</v>
      </c>
      <c r="W95" s="12" t="s">
        <v>1111</v>
      </c>
      <c r="X95" s="12" t="s">
        <v>1111</v>
      </c>
      <c r="Y95" s="12"/>
      <c r="Z95" s="12"/>
      <c r="AA95" s="12" t="s">
        <v>1964</v>
      </c>
      <c r="AB95" s="12"/>
      <c r="AC95" s="12"/>
      <c r="AD95" s="12" t="s">
        <v>1155</v>
      </c>
      <c r="AE95" s="12" t="s">
        <v>1965</v>
      </c>
      <c r="AF95" s="12" t="s">
        <v>1966</v>
      </c>
      <c r="AG95" s="12" t="n">
        <f aca="false">COUNTIF(Variants!$B:$B,A95)</f>
        <v>1</v>
      </c>
      <c r="AH95" s="12" t="s">
        <v>1120</v>
      </c>
    </row>
    <row r="96" customFormat="false" ht="15" hidden="false" customHeight="false" outlineLevel="0" collapsed="false">
      <c r="A96" s="12" t="s">
        <v>1967</v>
      </c>
      <c r="B96" s="12" t="s">
        <v>1968</v>
      </c>
      <c r="C96" s="12" t="s">
        <v>1160</v>
      </c>
      <c r="D96" s="12" t="s">
        <v>1161</v>
      </c>
      <c r="E96" s="12" t="s">
        <v>1160</v>
      </c>
      <c r="F96" s="12" t="s">
        <v>442</v>
      </c>
      <c r="G96" s="12" t="s">
        <v>449</v>
      </c>
      <c r="H96" s="12" t="s">
        <v>1969</v>
      </c>
      <c r="I96" s="12" t="s">
        <v>99</v>
      </c>
      <c r="J96" s="12" t="s">
        <v>166</v>
      </c>
      <c r="K96" s="12" t="s">
        <v>676</v>
      </c>
      <c r="L96" s="12" t="s">
        <v>751</v>
      </c>
      <c r="M96" s="12" t="s">
        <v>793</v>
      </c>
      <c r="N96" s="12" t="s">
        <v>237</v>
      </c>
      <c r="O96" s="12"/>
      <c r="P96" s="12"/>
      <c r="Q96" s="12"/>
      <c r="R96" s="12"/>
      <c r="S96" s="12"/>
      <c r="T96" s="12"/>
      <c r="U96" s="12"/>
      <c r="V96" s="12" t="s">
        <v>929</v>
      </c>
      <c r="W96" s="12" t="s">
        <v>1111</v>
      </c>
      <c r="X96" s="12" t="s">
        <v>1111</v>
      </c>
      <c r="Y96" s="12" t="s">
        <v>1970</v>
      </c>
      <c r="Z96" s="12"/>
      <c r="AA96" s="12"/>
      <c r="AB96" s="12"/>
      <c r="AC96" s="12" t="s">
        <v>1971</v>
      </c>
      <c r="AD96" s="12" t="s">
        <v>1110</v>
      </c>
      <c r="AE96" s="12" t="s">
        <v>1972</v>
      </c>
      <c r="AF96" s="12" t="s">
        <v>1973</v>
      </c>
      <c r="AG96" s="12" t="n">
        <f aca="false">COUNTIF(Variants!$B:$B,A96)</f>
        <v>1</v>
      </c>
      <c r="AH96" s="12" t="s">
        <v>1120</v>
      </c>
    </row>
    <row r="97" customFormat="false" ht="15" hidden="false" customHeight="false" outlineLevel="0" collapsed="false">
      <c r="A97" s="12" t="s">
        <v>1974</v>
      </c>
      <c r="B97" s="12" t="s">
        <v>1975</v>
      </c>
      <c r="C97" s="12" t="s">
        <v>1164</v>
      </c>
      <c r="D97" s="12" t="s">
        <v>1165</v>
      </c>
      <c r="E97" s="12" t="s">
        <v>1164</v>
      </c>
      <c r="F97" s="12" t="s">
        <v>442</v>
      </c>
      <c r="G97" s="12" t="s">
        <v>449</v>
      </c>
      <c r="H97" s="12" t="s">
        <v>1969</v>
      </c>
      <c r="I97" s="12" t="s">
        <v>99</v>
      </c>
      <c r="J97" s="12" t="s">
        <v>166</v>
      </c>
      <c r="K97" s="12" t="s">
        <v>676</v>
      </c>
      <c r="L97" s="12" t="s">
        <v>751</v>
      </c>
      <c r="M97" s="12" t="s">
        <v>793</v>
      </c>
      <c r="N97" s="12" t="s">
        <v>237</v>
      </c>
      <c r="O97" s="12"/>
      <c r="P97" s="12"/>
      <c r="Q97" s="12"/>
      <c r="R97" s="12"/>
      <c r="S97" s="12"/>
      <c r="T97" s="12"/>
      <c r="U97" s="12"/>
      <c r="V97" s="12" t="s">
        <v>929</v>
      </c>
      <c r="W97" s="12" t="s">
        <v>1111</v>
      </c>
      <c r="X97" s="12" t="s">
        <v>1111</v>
      </c>
      <c r="Y97" s="12" t="s">
        <v>1970</v>
      </c>
      <c r="Z97" s="12"/>
      <c r="AA97" s="12"/>
      <c r="AB97" s="12"/>
      <c r="AC97" s="12" t="s">
        <v>1971</v>
      </c>
      <c r="AD97" s="12" t="s">
        <v>1110</v>
      </c>
      <c r="AE97" s="12" t="s">
        <v>1976</v>
      </c>
      <c r="AF97" s="12" t="s">
        <v>1977</v>
      </c>
      <c r="AG97" s="12" t="n">
        <f aca="false">COUNTIF(Variants!$B:$B,A97)</f>
        <v>1</v>
      </c>
      <c r="AH97" s="12" t="s">
        <v>1120</v>
      </c>
    </row>
    <row r="98" customFormat="false" ht="15" hidden="false" customHeight="false" outlineLevel="0" collapsed="false">
      <c r="A98" s="12" t="s">
        <v>1978</v>
      </c>
      <c r="B98" s="12" t="s">
        <v>1979</v>
      </c>
      <c r="C98" s="12" t="s">
        <v>1166</v>
      </c>
      <c r="D98" s="12" t="s">
        <v>1167</v>
      </c>
      <c r="E98" s="12" t="s">
        <v>1166</v>
      </c>
      <c r="F98" s="12" t="s">
        <v>442</v>
      </c>
      <c r="G98" s="12" t="s">
        <v>449</v>
      </c>
      <c r="H98" s="12" t="s">
        <v>1969</v>
      </c>
      <c r="I98" s="12" t="s">
        <v>99</v>
      </c>
      <c r="J98" s="12" t="s">
        <v>166</v>
      </c>
      <c r="K98" s="12" t="s">
        <v>676</v>
      </c>
      <c r="L98" s="12" t="s">
        <v>751</v>
      </c>
      <c r="M98" s="12" t="s">
        <v>793</v>
      </c>
      <c r="N98" s="12" t="s">
        <v>237</v>
      </c>
      <c r="O98" s="12"/>
      <c r="P98" s="12"/>
      <c r="Q98" s="12"/>
      <c r="R98" s="12"/>
      <c r="S98" s="12"/>
      <c r="T98" s="12"/>
      <c r="U98" s="12"/>
      <c r="V98" s="12" t="s">
        <v>929</v>
      </c>
      <c r="W98" s="12" t="s">
        <v>1111</v>
      </c>
      <c r="X98" s="12" t="s">
        <v>1111</v>
      </c>
      <c r="Y98" s="12" t="s">
        <v>1970</v>
      </c>
      <c r="Z98" s="12"/>
      <c r="AA98" s="12"/>
      <c r="AB98" s="12"/>
      <c r="AC98" s="12" t="s">
        <v>1971</v>
      </c>
      <c r="AD98" s="12" t="s">
        <v>1110</v>
      </c>
      <c r="AE98" s="12" t="s">
        <v>1980</v>
      </c>
      <c r="AF98" s="12" t="s">
        <v>1981</v>
      </c>
      <c r="AG98" s="12" t="n">
        <f aca="false">COUNTIF(Variants!$B:$B,A98)</f>
        <v>1</v>
      </c>
      <c r="AH98" s="12" t="s">
        <v>1120</v>
      </c>
    </row>
    <row r="99" customFormat="false" ht="15" hidden="false" customHeight="false" outlineLevel="0" collapsed="false">
      <c r="A99" s="12" t="s">
        <v>1982</v>
      </c>
      <c r="B99" s="12" t="s">
        <v>1983</v>
      </c>
      <c r="C99" s="12" t="s">
        <v>1168</v>
      </c>
      <c r="D99" s="12" t="s">
        <v>1169</v>
      </c>
      <c r="E99" s="12" t="s">
        <v>1168</v>
      </c>
      <c r="F99" s="12" t="s">
        <v>442</v>
      </c>
      <c r="G99" s="12" t="s">
        <v>449</v>
      </c>
      <c r="H99" s="12" t="s">
        <v>1969</v>
      </c>
      <c r="I99" s="12" t="s">
        <v>99</v>
      </c>
      <c r="J99" s="12" t="s">
        <v>166</v>
      </c>
      <c r="K99" s="12" t="s">
        <v>676</v>
      </c>
      <c r="L99" s="12" t="s">
        <v>751</v>
      </c>
      <c r="M99" s="12" t="s">
        <v>793</v>
      </c>
      <c r="N99" s="12" t="s">
        <v>237</v>
      </c>
      <c r="O99" s="12"/>
      <c r="P99" s="12"/>
      <c r="Q99" s="12"/>
      <c r="R99" s="12"/>
      <c r="S99" s="12"/>
      <c r="T99" s="12"/>
      <c r="U99" s="12"/>
      <c r="V99" s="12" t="s">
        <v>929</v>
      </c>
      <c r="W99" s="12" t="s">
        <v>1111</v>
      </c>
      <c r="X99" s="12" t="s">
        <v>1111</v>
      </c>
      <c r="Y99" s="12" t="s">
        <v>1970</v>
      </c>
      <c r="Z99" s="12"/>
      <c r="AA99" s="12"/>
      <c r="AB99" s="12"/>
      <c r="AC99" s="12" t="s">
        <v>1971</v>
      </c>
      <c r="AD99" s="12" t="s">
        <v>1110</v>
      </c>
      <c r="AE99" s="12" t="s">
        <v>1984</v>
      </c>
      <c r="AF99" s="12" t="s">
        <v>1985</v>
      </c>
      <c r="AG99" s="12" t="n">
        <f aca="false">COUNTIF(Variants!$B:$B,A99)</f>
        <v>1</v>
      </c>
      <c r="AH99" s="12" t="s">
        <v>1120</v>
      </c>
    </row>
    <row r="100" customFormat="false" ht="15" hidden="false" customHeight="false" outlineLevel="0" collapsed="false">
      <c r="A100" s="12" t="s">
        <v>1986</v>
      </c>
      <c r="B100" s="12" t="s">
        <v>1987</v>
      </c>
      <c r="C100" s="12" t="s">
        <v>1170</v>
      </c>
      <c r="D100" s="12" t="s">
        <v>1171</v>
      </c>
      <c r="E100" s="12" t="s">
        <v>1170</v>
      </c>
      <c r="F100" s="12" t="s">
        <v>442</v>
      </c>
      <c r="G100" s="12" t="s">
        <v>449</v>
      </c>
      <c r="H100" s="12" t="s">
        <v>1969</v>
      </c>
      <c r="I100" s="12" t="s">
        <v>99</v>
      </c>
      <c r="J100" s="12" t="s">
        <v>166</v>
      </c>
      <c r="K100" s="12" t="s">
        <v>676</v>
      </c>
      <c r="L100" s="12" t="s">
        <v>751</v>
      </c>
      <c r="M100" s="12" t="s">
        <v>793</v>
      </c>
      <c r="N100" s="12" t="s">
        <v>237</v>
      </c>
      <c r="O100" s="12"/>
      <c r="P100" s="12"/>
      <c r="Q100" s="12"/>
      <c r="R100" s="12"/>
      <c r="S100" s="12"/>
      <c r="T100" s="12"/>
      <c r="U100" s="12"/>
      <c r="V100" s="12" t="s">
        <v>929</v>
      </c>
      <c r="W100" s="12" t="s">
        <v>1111</v>
      </c>
      <c r="X100" s="12" t="s">
        <v>1111</v>
      </c>
      <c r="Y100" s="12" t="s">
        <v>1970</v>
      </c>
      <c r="Z100" s="12"/>
      <c r="AA100" s="12"/>
      <c r="AB100" s="12"/>
      <c r="AC100" s="12" t="s">
        <v>1971</v>
      </c>
      <c r="AD100" s="12" t="s">
        <v>1110</v>
      </c>
      <c r="AE100" s="12" t="s">
        <v>1988</v>
      </c>
      <c r="AF100" s="12" t="s">
        <v>1989</v>
      </c>
      <c r="AG100" s="12" t="n">
        <f aca="false">COUNTIF(Variants!$B:$B,A100)</f>
        <v>1</v>
      </c>
      <c r="AH100" s="12" t="s">
        <v>1120</v>
      </c>
    </row>
    <row r="101" customFormat="false" ht="15" hidden="false" customHeight="false" outlineLevel="0" collapsed="false">
      <c r="A101" s="12" t="s">
        <v>1990</v>
      </c>
      <c r="B101" s="12" t="s">
        <v>1991</v>
      </c>
      <c r="C101" s="12" t="s">
        <v>1172</v>
      </c>
      <c r="D101" s="12" t="s">
        <v>1173</v>
      </c>
      <c r="E101" s="12" t="s">
        <v>1172</v>
      </c>
      <c r="F101" s="12" t="s">
        <v>442</v>
      </c>
      <c r="G101" s="12" t="s">
        <v>449</v>
      </c>
      <c r="H101" s="12" t="s">
        <v>1969</v>
      </c>
      <c r="I101" s="12" t="s">
        <v>99</v>
      </c>
      <c r="J101" s="12" t="s">
        <v>166</v>
      </c>
      <c r="K101" s="12" t="s">
        <v>676</v>
      </c>
      <c r="L101" s="12" t="s">
        <v>751</v>
      </c>
      <c r="M101" s="12" t="s">
        <v>793</v>
      </c>
      <c r="N101" s="12" t="s">
        <v>237</v>
      </c>
      <c r="O101" s="12"/>
      <c r="P101" s="12"/>
      <c r="Q101" s="12"/>
      <c r="R101" s="12"/>
      <c r="S101" s="12"/>
      <c r="T101" s="12"/>
      <c r="U101" s="12"/>
      <c r="V101" s="12" t="s">
        <v>929</v>
      </c>
      <c r="W101" s="12" t="s">
        <v>1111</v>
      </c>
      <c r="X101" s="12" t="s">
        <v>1111</v>
      </c>
      <c r="Y101" s="12" t="s">
        <v>1970</v>
      </c>
      <c r="Z101" s="12"/>
      <c r="AA101" s="12"/>
      <c r="AB101" s="12"/>
      <c r="AC101" s="12" t="s">
        <v>1971</v>
      </c>
      <c r="AD101" s="12" t="s">
        <v>1110</v>
      </c>
      <c r="AE101" s="12" t="s">
        <v>1992</v>
      </c>
      <c r="AF101" s="12" t="s">
        <v>1993</v>
      </c>
      <c r="AG101" s="12" t="n">
        <f aca="false">COUNTIF(Variants!$B:$B,A101)</f>
        <v>1</v>
      </c>
      <c r="AH101" s="12" t="s">
        <v>1120</v>
      </c>
    </row>
    <row r="102" customFormat="false" ht="15" hidden="false" customHeight="false" outlineLevel="0" collapsed="false">
      <c r="A102" s="12" t="s">
        <v>1994</v>
      </c>
      <c r="B102" s="12" t="s">
        <v>1995</v>
      </c>
      <c r="C102" s="12" t="s">
        <v>1174</v>
      </c>
      <c r="D102" s="12" t="s">
        <v>1175</v>
      </c>
      <c r="E102" s="12" t="s">
        <v>1174</v>
      </c>
      <c r="F102" s="12" t="s">
        <v>442</v>
      </c>
      <c r="G102" s="12" t="s">
        <v>449</v>
      </c>
      <c r="H102" s="12" t="s">
        <v>1969</v>
      </c>
      <c r="I102" s="12" t="s">
        <v>99</v>
      </c>
      <c r="J102" s="12" t="s">
        <v>166</v>
      </c>
      <c r="K102" s="12" t="s">
        <v>676</v>
      </c>
      <c r="L102" s="12" t="s">
        <v>751</v>
      </c>
      <c r="M102" s="12" t="s">
        <v>793</v>
      </c>
      <c r="N102" s="12" t="s">
        <v>237</v>
      </c>
      <c r="O102" s="12"/>
      <c r="P102" s="12"/>
      <c r="Q102" s="12"/>
      <c r="R102" s="12"/>
      <c r="S102" s="12"/>
      <c r="T102" s="12"/>
      <c r="U102" s="12"/>
      <c r="V102" s="12" t="s">
        <v>929</v>
      </c>
      <c r="W102" s="12" t="s">
        <v>1111</v>
      </c>
      <c r="X102" s="12" t="s">
        <v>1111</v>
      </c>
      <c r="Y102" s="12" t="s">
        <v>1970</v>
      </c>
      <c r="Z102" s="12"/>
      <c r="AA102" s="12"/>
      <c r="AB102" s="12"/>
      <c r="AC102" s="12" t="s">
        <v>1971</v>
      </c>
      <c r="AD102" s="12" t="s">
        <v>1110</v>
      </c>
      <c r="AE102" s="12" t="s">
        <v>1996</v>
      </c>
      <c r="AF102" s="12" t="s">
        <v>1997</v>
      </c>
      <c r="AG102" s="12" t="n">
        <f aca="false">COUNTIF(Variants!$B:$B,A102)</f>
        <v>1</v>
      </c>
      <c r="AH102" s="12" t="s">
        <v>1120</v>
      </c>
    </row>
    <row r="103" customFormat="false" ht="15" hidden="false" customHeight="false" outlineLevel="0" collapsed="false">
      <c r="A103" s="12" t="s">
        <v>1998</v>
      </c>
      <c r="B103" s="12" t="s">
        <v>1999</v>
      </c>
      <c r="C103" s="12" t="s">
        <v>1176</v>
      </c>
      <c r="D103" s="12" t="s">
        <v>1177</v>
      </c>
      <c r="E103" s="12" t="s">
        <v>1176</v>
      </c>
      <c r="F103" s="12" t="s">
        <v>442</v>
      </c>
      <c r="G103" s="12" t="s">
        <v>449</v>
      </c>
      <c r="H103" s="12" t="s">
        <v>1969</v>
      </c>
      <c r="I103" s="12" t="s">
        <v>99</v>
      </c>
      <c r="J103" s="12" t="s">
        <v>166</v>
      </c>
      <c r="K103" s="12" t="s">
        <v>676</v>
      </c>
      <c r="L103" s="12" t="s">
        <v>751</v>
      </c>
      <c r="M103" s="12" t="s">
        <v>793</v>
      </c>
      <c r="N103" s="12" t="s">
        <v>237</v>
      </c>
      <c r="O103" s="12"/>
      <c r="P103" s="12"/>
      <c r="Q103" s="12"/>
      <c r="R103" s="12"/>
      <c r="S103" s="12"/>
      <c r="T103" s="12"/>
      <c r="U103" s="12"/>
      <c r="V103" s="12" t="s">
        <v>929</v>
      </c>
      <c r="W103" s="12" t="s">
        <v>1111</v>
      </c>
      <c r="X103" s="12" t="s">
        <v>1111</v>
      </c>
      <c r="Y103" s="12" t="s">
        <v>1970</v>
      </c>
      <c r="Z103" s="12"/>
      <c r="AA103" s="12"/>
      <c r="AB103" s="12"/>
      <c r="AC103" s="12" t="s">
        <v>1971</v>
      </c>
      <c r="AD103" s="12" t="s">
        <v>1110</v>
      </c>
      <c r="AE103" s="12" t="s">
        <v>2000</v>
      </c>
      <c r="AF103" s="12" t="s">
        <v>2001</v>
      </c>
      <c r="AG103" s="12" t="n">
        <f aca="false">COUNTIF(Variants!$B:$B,A103)</f>
        <v>1</v>
      </c>
      <c r="AH103" s="12" t="s">
        <v>1120</v>
      </c>
    </row>
    <row r="104" customFormat="false" ht="15" hidden="false" customHeight="false" outlineLevel="0" collapsed="false">
      <c r="A104" s="12" t="s">
        <v>2002</v>
      </c>
      <c r="B104" s="12" t="s">
        <v>2003</v>
      </c>
      <c r="C104" s="12" t="s">
        <v>1176</v>
      </c>
      <c r="D104" s="12" t="s">
        <v>1177</v>
      </c>
      <c r="E104" s="12" t="s">
        <v>1176</v>
      </c>
      <c r="F104" s="12" t="s">
        <v>442</v>
      </c>
      <c r="G104" s="12" t="s">
        <v>449</v>
      </c>
      <c r="H104" s="12" t="s">
        <v>1969</v>
      </c>
      <c r="I104" s="12" t="s">
        <v>99</v>
      </c>
      <c r="J104" s="12" t="s">
        <v>166</v>
      </c>
      <c r="K104" s="12" t="s">
        <v>679</v>
      </c>
      <c r="L104" s="12" t="s">
        <v>751</v>
      </c>
      <c r="M104" s="12" t="s">
        <v>793</v>
      </c>
      <c r="N104" s="12" t="s">
        <v>237</v>
      </c>
      <c r="O104" s="12"/>
      <c r="P104" s="12"/>
      <c r="Q104" s="12"/>
      <c r="R104" s="12"/>
      <c r="S104" s="12"/>
      <c r="T104" s="12"/>
      <c r="U104" s="12"/>
      <c r="V104" s="12" t="s">
        <v>929</v>
      </c>
      <c r="W104" s="12" t="s">
        <v>1111</v>
      </c>
      <c r="X104" s="12" t="s">
        <v>1111</v>
      </c>
      <c r="Y104" s="12" t="s">
        <v>1970</v>
      </c>
      <c r="Z104" s="12"/>
      <c r="AA104" s="12"/>
      <c r="AB104" s="12"/>
      <c r="AC104" s="12" t="s">
        <v>2004</v>
      </c>
      <c r="AD104" s="12" t="s">
        <v>1110</v>
      </c>
      <c r="AE104" s="12" t="s">
        <v>2005</v>
      </c>
      <c r="AF104" s="12" t="s">
        <v>2006</v>
      </c>
      <c r="AG104" s="12" t="n">
        <f aca="false">COUNTIF(Variants!$B:$B,A104)</f>
        <v>1</v>
      </c>
      <c r="AH104" s="12" t="s">
        <v>1120</v>
      </c>
    </row>
    <row r="105" customFormat="false" ht="15" hidden="false" customHeight="false" outlineLevel="0" collapsed="false">
      <c r="A105" s="12" t="s">
        <v>2007</v>
      </c>
      <c r="B105" s="12" t="s">
        <v>2008</v>
      </c>
      <c r="C105" s="12" t="s">
        <v>1178</v>
      </c>
      <c r="D105" s="12" t="s">
        <v>1179</v>
      </c>
      <c r="E105" s="12" t="s">
        <v>1178</v>
      </c>
      <c r="F105" s="12" t="s">
        <v>442</v>
      </c>
      <c r="G105" s="12" t="s">
        <v>449</v>
      </c>
      <c r="H105" s="12" t="s">
        <v>1969</v>
      </c>
      <c r="I105" s="12" t="s">
        <v>99</v>
      </c>
      <c r="J105" s="12" t="s">
        <v>166</v>
      </c>
      <c r="K105" s="12" t="s">
        <v>676</v>
      </c>
      <c r="L105" s="12" t="s">
        <v>751</v>
      </c>
      <c r="M105" s="12" t="s">
        <v>793</v>
      </c>
      <c r="N105" s="12" t="s">
        <v>237</v>
      </c>
      <c r="O105" s="12"/>
      <c r="P105" s="12"/>
      <c r="Q105" s="12"/>
      <c r="R105" s="12"/>
      <c r="S105" s="12"/>
      <c r="T105" s="12"/>
      <c r="U105" s="12"/>
      <c r="V105" s="12" t="s">
        <v>929</v>
      </c>
      <c r="W105" s="12" t="s">
        <v>1111</v>
      </c>
      <c r="X105" s="12" t="s">
        <v>1111</v>
      </c>
      <c r="Y105" s="12" t="s">
        <v>1970</v>
      </c>
      <c r="Z105" s="12"/>
      <c r="AA105" s="12"/>
      <c r="AB105" s="12"/>
      <c r="AC105" s="12" t="s">
        <v>1971</v>
      </c>
      <c r="AD105" s="12" t="s">
        <v>1110</v>
      </c>
      <c r="AE105" s="12" t="s">
        <v>2009</v>
      </c>
      <c r="AF105" s="12" t="s">
        <v>2010</v>
      </c>
      <c r="AG105" s="12" t="n">
        <f aca="false">COUNTIF(Variants!$B:$B,A105)</f>
        <v>1</v>
      </c>
      <c r="AH105" s="12" t="s">
        <v>1120</v>
      </c>
    </row>
    <row r="106" customFormat="false" ht="15" hidden="false" customHeight="false" outlineLevel="0" collapsed="false">
      <c r="A106" s="12" t="s">
        <v>2011</v>
      </c>
      <c r="B106" s="12" t="s">
        <v>2012</v>
      </c>
      <c r="C106" s="12" t="s">
        <v>1178</v>
      </c>
      <c r="D106" s="12" t="s">
        <v>1179</v>
      </c>
      <c r="E106" s="12" t="s">
        <v>1178</v>
      </c>
      <c r="F106" s="12" t="s">
        <v>442</v>
      </c>
      <c r="G106" s="12" t="s">
        <v>449</v>
      </c>
      <c r="H106" s="12" t="s">
        <v>1969</v>
      </c>
      <c r="I106" s="12" t="s">
        <v>99</v>
      </c>
      <c r="J106" s="12" t="s">
        <v>166</v>
      </c>
      <c r="K106" s="12" t="s">
        <v>679</v>
      </c>
      <c r="L106" s="12" t="s">
        <v>751</v>
      </c>
      <c r="M106" s="12" t="s">
        <v>793</v>
      </c>
      <c r="N106" s="12" t="s">
        <v>237</v>
      </c>
      <c r="O106" s="12"/>
      <c r="P106" s="12"/>
      <c r="Q106" s="12"/>
      <c r="R106" s="12"/>
      <c r="S106" s="12"/>
      <c r="T106" s="12"/>
      <c r="U106" s="12"/>
      <c r="V106" s="12" t="s">
        <v>929</v>
      </c>
      <c r="W106" s="12" t="s">
        <v>1111</v>
      </c>
      <c r="X106" s="12" t="s">
        <v>1111</v>
      </c>
      <c r="Y106" s="12" t="s">
        <v>1970</v>
      </c>
      <c r="Z106" s="12"/>
      <c r="AA106" s="12"/>
      <c r="AB106" s="12"/>
      <c r="AC106" s="12" t="s">
        <v>2004</v>
      </c>
      <c r="AD106" s="12" t="s">
        <v>1110</v>
      </c>
      <c r="AE106" s="12" t="s">
        <v>2013</v>
      </c>
      <c r="AF106" s="12" t="s">
        <v>2014</v>
      </c>
      <c r="AG106" s="12" t="n">
        <f aca="false">COUNTIF(Variants!$B:$B,A106)</f>
        <v>1</v>
      </c>
      <c r="AH106" s="12" t="s">
        <v>1120</v>
      </c>
    </row>
    <row r="107" customFormat="false" ht="15" hidden="false" customHeight="false" outlineLevel="0" collapsed="false">
      <c r="A107" s="12" t="s">
        <v>2015</v>
      </c>
      <c r="B107" s="12" t="s">
        <v>2016</v>
      </c>
      <c r="C107" s="12" t="s">
        <v>1180</v>
      </c>
      <c r="D107" s="12" t="s">
        <v>1181</v>
      </c>
      <c r="E107" s="12" t="s">
        <v>1180</v>
      </c>
      <c r="F107" s="12" t="s">
        <v>442</v>
      </c>
      <c r="G107" s="12" t="s">
        <v>449</v>
      </c>
      <c r="H107" s="12" t="s">
        <v>1969</v>
      </c>
      <c r="I107" s="12" t="s">
        <v>99</v>
      </c>
      <c r="J107" s="12" t="s">
        <v>166</v>
      </c>
      <c r="K107" s="12" t="s">
        <v>676</v>
      </c>
      <c r="L107" s="12" t="s">
        <v>751</v>
      </c>
      <c r="M107" s="12" t="s">
        <v>793</v>
      </c>
      <c r="N107" s="12" t="s">
        <v>237</v>
      </c>
      <c r="O107" s="12"/>
      <c r="P107" s="12"/>
      <c r="Q107" s="12"/>
      <c r="R107" s="12"/>
      <c r="S107" s="12"/>
      <c r="T107" s="12"/>
      <c r="U107" s="12"/>
      <c r="V107" s="12" t="s">
        <v>929</v>
      </c>
      <c r="W107" s="12" t="s">
        <v>1111</v>
      </c>
      <c r="X107" s="12" t="s">
        <v>1111</v>
      </c>
      <c r="Y107" s="12" t="s">
        <v>1970</v>
      </c>
      <c r="Z107" s="12"/>
      <c r="AA107" s="12"/>
      <c r="AB107" s="12"/>
      <c r="AC107" s="12" t="s">
        <v>1971</v>
      </c>
      <c r="AD107" s="12" t="s">
        <v>1110</v>
      </c>
      <c r="AE107" s="12" t="s">
        <v>2017</v>
      </c>
      <c r="AF107" s="12" t="s">
        <v>2018</v>
      </c>
      <c r="AG107" s="12" t="n">
        <f aca="false">COUNTIF(Variants!$B:$B,A107)</f>
        <v>1</v>
      </c>
      <c r="AH107" s="12" t="s">
        <v>1120</v>
      </c>
    </row>
    <row r="108" customFormat="false" ht="15" hidden="false" customHeight="false" outlineLevel="0" collapsed="false">
      <c r="A108" s="12" t="s">
        <v>2019</v>
      </c>
      <c r="B108" s="12" t="s">
        <v>2020</v>
      </c>
      <c r="C108" s="12" t="s">
        <v>1180</v>
      </c>
      <c r="D108" s="12" t="s">
        <v>1181</v>
      </c>
      <c r="E108" s="12" t="s">
        <v>1180</v>
      </c>
      <c r="F108" s="12" t="s">
        <v>442</v>
      </c>
      <c r="G108" s="12" t="s">
        <v>449</v>
      </c>
      <c r="H108" s="12" t="s">
        <v>1969</v>
      </c>
      <c r="I108" s="12" t="s">
        <v>99</v>
      </c>
      <c r="J108" s="12" t="s">
        <v>166</v>
      </c>
      <c r="K108" s="12" t="s">
        <v>679</v>
      </c>
      <c r="L108" s="12" t="s">
        <v>751</v>
      </c>
      <c r="M108" s="12" t="s">
        <v>793</v>
      </c>
      <c r="N108" s="12" t="s">
        <v>237</v>
      </c>
      <c r="O108" s="12"/>
      <c r="P108" s="12"/>
      <c r="Q108" s="12"/>
      <c r="R108" s="12"/>
      <c r="S108" s="12"/>
      <c r="T108" s="12"/>
      <c r="U108" s="12"/>
      <c r="V108" s="12" t="s">
        <v>929</v>
      </c>
      <c r="W108" s="12" t="s">
        <v>1111</v>
      </c>
      <c r="X108" s="12" t="s">
        <v>1111</v>
      </c>
      <c r="Y108" s="12" t="s">
        <v>1970</v>
      </c>
      <c r="Z108" s="12"/>
      <c r="AA108" s="12"/>
      <c r="AB108" s="12"/>
      <c r="AC108" s="12" t="s">
        <v>2004</v>
      </c>
      <c r="AD108" s="12" t="s">
        <v>1110</v>
      </c>
      <c r="AE108" s="12" t="s">
        <v>2021</v>
      </c>
      <c r="AF108" s="12" t="s">
        <v>2022</v>
      </c>
      <c r="AG108" s="12" t="n">
        <f aca="false">COUNTIF(Variants!$B:$B,A108)</f>
        <v>1</v>
      </c>
      <c r="AH108" s="12" t="s">
        <v>1120</v>
      </c>
    </row>
    <row r="109" customFormat="false" ht="15" hidden="false" customHeight="false" outlineLevel="0" collapsed="false">
      <c r="A109" s="12" t="s">
        <v>2023</v>
      </c>
      <c r="B109" s="12" t="s">
        <v>2024</v>
      </c>
      <c r="C109" s="12" t="s">
        <v>1180</v>
      </c>
      <c r="D109" s="12" t="s">
        <v>1181</v>
      </c>
      <c r="E109" s="12" t="s">
        <v>1180</v>
      </c>
      <c r="F109" s="12" t="s">
        <v>442</v>
      </c>
      <c r="G109" s="12" t="s">
        <v>449</v>
      </c>
      <c r="H109" s="12" t="s">
        <v>1969</v>
      </c>
      <c r="I109" s="12" t="s">
        <v>99</v>
      </c>
      <c r="J109" s="12" t="s">
        <v>166</v>
      </c>
      <c r="K109" s="12" t="s">
        <v>682</v>
      </c>
      <c r="L109" s="12" t="s">
        <v>751</v>
      </c>
      <c r="M109" s="12" t="s">
        <v>793</v>
      </c>
      <c r="N109" s="12" t="s">
        <v>237</v>
      </c>
      <c r="O109" s="12"/>
      <c r="P109" s="12"/>
      <c r="Q109" s="12"/>
      <c r="R109" s="12"/>
      <c r="S109" s="12"/>
      <c r="T109" s="12"/>
      <c r="U109" s="12"/>
      <c r="V109" s="12" t="s">
        <v>929</v>
      </c>
      <c r="W109" s="12" t="s">
        <v>1111</v>
      </c>
      <c r="X109" s="12" t="s">
        <v>1111</v>
      </c>
      <c r="Y109" s="12" t="s">
        <v>1970</v>
      </c>
      <c r="Z109" s="12"/>
      <c r="AA109" s="12"/>
      <c r="AB109" s="12"/>
      <c r="AC109" s="12" t="s">
        <v>2025</v>
      </c>
      <c r="AD109" s="12" t="s">
        <v>1110</v>
      </c>
      <c r="AE109" s="12" t="s">
        <v>2026</v>
      </c>
      <c r="AF109" s="12" t="s">
        <v>2027</v>
      </c>
      <c r="AG109" s="12" t="n">
        <f aca="false">COUNTIF(Variants!$B:$B,A109)</f>
        <v>1</v>
      </c>
      <c r="AH109" s="12" t="s">
        <v>1120</v>
      </c>
    </row>
    <row r="110" customFormat="false" ht="15" hidden="false" customHeight="false" outlineLevel="0" collapsed="false">
      <c r="A110" s="12" t="s">
        <v>2028</v>
      </c>
      <c r="B110" s="12" t="s">
        <v>2029</v>
      </c>
      <c r="C110" s="12" t="s">
        <v>1113</v>
      </c>
      <c r="D110" s="12" t="s">
        <v>1114</v>
      </c>
      <c r="E110" s="12" t="s">
        <v>1113</v>
      </c>
      <c r="F110" s="12" t="s">
        <v>442</v>
      </c>
      <c r="G110" s="12" t="s">
        <v>449</v>
      </c>
      <c r="H110" s="12" t="s">
        <v>1969</v>
      </c>
      <c r="I110" s="12" t="s">
        <v>99</v>
      </c>
      <c r="J110" s="12" t="s">
        <v>166</v>
      </c>
      <c r="K110" s="12" t="s">
        <v>676</v>
      </c>
      <c r="L110" s="12" t="s">
        <v>751</v>
      </c>
      <c r="M110" s="12" t="s">
        <v>793</v>
      </c>
      <c r="N110" s="12" t="s">
        <v>237</v>
      </c>
      <c r="O110" s="12"/>
      <c r="P110" s="12"/>
      <c r="Q110" s="12"/>
      <c r="R110" s="12"/>
      <c r="S110" s="12"/>
      <c r="T110" s="12"/>
      <c r="U110" s="12"/>
      <c r="V110" s="12" t="s">
        <v>929</v>
      </c>
      <c r="W110" s="12" t="s">
        <v>1111</v>
      </c>
      <c r="X110" s="12" t="s">
        <v>1111</v>
      </c>
      <c r="Y110" s="12" t="s">
        <v>1970</v>
      </c>
      <c r="Z110" s="12"/>
      <c r="AA110" s="12"/>
      <c r="AB110" s="12"/>
      <c r="AC110" s="12" t="s">
        <v>1971</v>
      </c>
      <c r="AD110" s="12" t="s">
        <v>1110</v>
      </c>
      <c r="AE110" s="12" t="s">
        <v>2030</v>
      </c>
      <c r="AF110" s="12" t="s">
        <v>2031</v>
      </c>
      <c r="AG110" s="12" t="n">
        <f aca="false">COUNTIF(Variants!$B:$B,A110)</f>
        <v>1</v>
      </c>
      <c r="AH110" s="12" t="s">
        <v>1120</v>
      </c>
    </row>
    <row r="111" customFormat="false" ht="15" hidden="false" customHeight="false" outlineLevel="0" collapsed="false">
      <c r="A111" s="12" t="s">
        <v>2032</v>
      </c>
      <c r="B111" s="12" t="s">
        <v>2033</v>
      </c>
      <c r="C111" s="12" t="s">
        <v>1113</v>
      </c>
      <c r="D111" s="12" t="s">
        <v>1114</v>
      </c>
      <c r="E111" s="12" t="s">
        <v>1113</v>
      </c>
      <c r="F111" s="12" t="s">
        <v>442</v>
      </c>
      <c r="G111" s="12" t="s">
        <v>449</v>
      </c>
      <c r="H111" s="12" t="s">
        <v>1969</v>
      </c>
      <c r="I111" s="12" t="s">
        <v>99</v>
      </c>
      <c r="J111" s="12" t="s">
        <v>166</v>
      </c>
      <c r="K111" s="12" t="s">
        <v>679</v>
      </c>
      <c r="L111" s="12" t="s">
        <v>751</v>
      </c>
      <c r="M111" s="12" t="s">
        <v>793</v>
      </c>
      <c r="N111" s="12" t="s">
        <v>237</v>
      </c>
      <c r="O111" s="12"/>
      <c r="P111" s="12"/>
      <c r="Q111" s="12"/>
      <c r="R111" s="12"/>
      <c r="S111" s="12"/>
      <c r="T111" s="12"/>
      <c r="U111" s="12"/>
      <c r="V111" s="12" t="s">
        <v>929</v>
      </c>
      <c r="W111" s="12" t="s">
        <v>1111</v>
      </c>
      <c r="X111" s="12" t="s">
        <v>1111</v>
      </c>
      <c r="Y111" s="12" t="s">
        <v>1970</v>
      </c>
      <c r="Z111" s="12"/>
      <c r="AA111" s="12"/>
      <c r="AB111" s="12"/>
      <c r="AC111" s="12" t="s">
        <v>2004</v>
      </c>
      <c r="AD111" s="12" t="s">
        <v>1110</v>
      </c>
      <c r="AE111" s="12" t="s">
        <v>2034</v>
      </c>
      <c r="AF111" s="12" t="s">
        <v>2035</v>
      </c>
      <c r="AG111" s="12" t="n">
        <f aca="false">COUNTIF(Variants!$B:$B,A111)</f>
        <v>1</v>
      </c>
      <c r="AH111" s="12" t="s">
        <v>1120</v>
      </c>
    </row>
    <row r="112" customFormat="false" ht="15" hidden="false" customHeight="false" outlineLevel="0" collapsed="false">
      <c r="A112" s="12" t="s">
        <v>2036</v>
      </c>
      <c r="B112" s="12" t="s">
        <v>2037</v>
      </c>
      <c r="C112" s="12" t="s">
        <v>1113</v>
      </c>
      <c r="D112" s="12" t="s">
        <v>1114</v>
      </c>
      <c r="E112" s="12" t="s">
        <v>1113</v>
      </c>
      <c r="F112" s="12" t="s">
        <v>442</v>
      </c>
      <c r="G112" s="12" t="s">
        <v>449</v>
      </c>
      <c r="H112" s="12" t="s">
        <v>1969</v>
      </c>
      <c r="I112" s="12" t="s">
        <v>99</v>
      </c>
      <c r="J112" s="12" t="s">
        <v>166</v>
      </c>
      <c r="K112" s="12" t="s">
        <v>682</v>
      </c>
      <c r="L112" s="12" t="s">
        <v>751</v>
      </c>
      <c r="M112" s="12" t="s">
        <v>793</v>
      </c>
      <c r="N112" s="12" t="s">
        <v>237</v>
      </c>
      <c r="O112" s="12"/>
      <c r="P112" s="12"/>
      <c r="Q112" s="12"/>
      <c r="R112" s="12"/>
      <c r="S112" s="12"/>
      <c r="T112" s="12"/>
      <c r="U112" s="12"/>
      <c r="V112" s="12" t="s">
        <v>929</v>
      </c>
      <c r="W112" s="12" t="s">
        <v>1111</v>
      </c>
      <c r="X112" s="12" t="s">
        <v>1111</v>
      </c>
      <c r="Y112" s="12" t="s">
        <v>1970</v>
      </c>
      <c r="Z112" s="12"/>
      <c r="AA112" s="12"/>
      <c r="AB112" s="12"/>
      <c r="AC112" s="12" t="s">
        <v>2038</v>
      </c>
      <c r="AD112" s="12" t="s">
        <v>1110</v>
      </c>
      <c r="AE112" s="12" t="s">
        <v>2039</v>
      </c>
      <c r="AF112" s="12" t="s">
        <v>2040</v>
      </c>
      <c r="AG112" s="12" t="n">
        <f aca="false">COUNTIF(Variants!$B:$B,A112)</f>
        <v>1</v>
      </c>
      <c r="AH112" s="12" t="s">
        <v>1120</v>
      </c>
    </row>
    <row r="113" customFormat="false" ht="15" hidden="false" customHeight="false" outlineLevel="0" collapsed="false">
      <c r="A113" s="12" t="s">
        <v>2041</v>
      </c>
      <c r="B113" s="12" t="s">
        <v>2042</v>
      </c>
      <c r="C113" s="12" t="s">
        <v>1122</v>
      </c>
      <c r="D113" s="12" t="s">
        <v>1123</v>
      </c>
      <c r="E113" s="12" t="s">
        <v>1122</v>
      </c>
      <c r="F113" s="12" t="s">
        <v>442</v>
      </c>
      <c r="G113" s="12" t="s">
        <v>457</v>
      </c>
      <c r="H113" s="12" t="s">
        <v>2043</v>
      </c>
      <c r="I113" s="12" t="s">
        <v>99</v>
      </c>
      <c r="J113" s="12" t="s">
        <v>179</v>
      </c>
      <c r="K113" s="12" t="s">
        <v>679</v>
      </c>
      <c r="L113" s="12" t="s">
        <v>751</v>
      </c>
      <c r="M113" s="12" t="s">
        <v>793</v>
      </c>
      <c r="N113" s="12" t="s">
        <v>237</v>
      </c>
      <c r="O113" s="12"/>
      <c r="P113" s="12"/>
      <c r="Q113" s="12"/>
      <c r="R113" s="12"/>
      <c r="S113" s="12"/>
      <c r="T113" s="12"/>
      <c r="U113" s="12"/>
      <c r="V113" s="12" t="s">
        <v>929</v>
      </c>
      <c r="W113" s="12" t="s">
        <v>1111</v>
      </c>
      <c r="X113" s="12" t="s">
        <v>1111</v>
      </c>
      <c r="Y113" s="12" t="s">
        <v>1970</v>
      </c>
      <c r="Z113" s="12"/>
      <c r="AA113" s="12"/>
      <c r="AB113" s="12"/>
      <c r="AC113" s="12" t="s">
        <v>2044</v>
      </c>
      <c r="AD113" s="12" t="s">
        <v>1110</v>
      </c>
      <c r="AE113" s="12" t="s">
        <v>2045</v>
      </c>
      <c r="AF113" s="12" t="s">
        <v>2046</v>
      </c>
      <c r="AG113" s="12" t="n">
        <f aca="false">COUNTIF(Variants!$B:$B,A113)</f>
        <v>1</v>
      </c>
      <c r="AH113" s="12" t="s">
        <v>1120</v>
      </c>
    </row>
    <row r="114" customFormat="false" ht="15" hidden="false" customHeight="false" outlineLevel="0" collapsed="false">
      <c r="A114" s="12" t="s">
        <v>2047</v>
      </c>
      <c r="B114" s="12" t="s">
        <v>2048</v>
      </c>
      <c r="C114" s="12" t="s">
        <v>1125</v>
      </c>
      <c r="D114" s="12" t="s">
        <v>1126</v>
      </c>
      <c r="E114" s="12" t="s">
        <v>1125</v>
      </c>
      <c r="F114" s="12" t="s">
        <v>442</v>
      </c>
      <c r="G114" s="12" t="s">
        <v>457</v>
      </c>
      <c r="H114" s="12" t="s">
        <v>2043</v>
      </c>
      <c r="I114" s="12" t="s">
        <v>137</v>
      </c>
      <c r="J114" s="12" t="s">
        <v>191</v>
      </c>
      <c r="K114" s="12" t="s">
        <v>695</v>
      </c>
      <c r="L114" s="12" t="s">
        <v>751</v>
      </c>
      <c r="M114" s="12" t="s">
        <v>793</v>
      </c>
      <c r="N114" s="12" t="s">
        <v>237</v>
      </c>
      <c r="O114" s="12"/>
      <c r="P114" s="12"/>
      <c r="Q114" s="12"/>
      <c r="R114" s="12"/>
      <c r="S114" s="12"/>
      <c r="T114" s="12"/>
      <c r="U114" s="12"/>
      <c r="V114" s="12" t="s">
        <v>929</v>
      </c>
      <c r="W114" s="12" t="s">
        <v>1111</v>
      </c>
      <c r="X114" s="12" t="s">
        <v>1111</v>
      </c>
      <c r="Y114" s="12" t="s">
        <v>1970</v>
      </c>
      <c r="Z114" s="12"/>
      <c r="AA114" s="12"/>
      <c r="AB114" s="12"/>
      <c r="AC114" s="12" t="s">
        <v>2049</v>
      </c>
      <c r="AD114" s="12" t="s">
        <v>1110</v>
      </c>
      <c r="AE114" s="12" t="s">
        <v>2050</v>
      </c>
      <c r="AF114" s="12" t="s">
        <v>2051</v>
      </c>
      <c r="AG114" s="12" t="n">
        <f aca="false">COUNTIF(Variants!$B:$B,A114)</f>
        <v>1</v>
      </c>
      <c r="AH114" s="12" t="s">
        <v>1120</v>
      </c>
    </row>
    <row r="115" customFormat="false" ht="15" hidden="false" customHeight="false" outlineLevel="0" collapsed="false">
      <c r="A115" s="12" t="s">
        <v>2052</v>
      </c>
      <c r="B115" s="12" t="s">
        <v>2053</v>
      </c>
      <c r="C115" s="12" t="s">
        <v>1128</v>
      </c>
      <c r="D115" s="12" t="s">
        <v>1129</v>
      </c>
      <c r="E115" s="12" t="s">
        <v>1128</v>
      </c>
      <c r="F115" s="12" t="s">
        <v>442</v>
      </c>
      <c r="G115" s="12" t="s">
        <v>457</v>
      </c>
      <c r="H115" s="12" t="s">
        <v>2043</v>
      </c>
      <c r="I115" s="12" t="s">
        <v>145</v>
      </c>
      <c r="J115" s="12" t="s">
        <v>245</v>
      </c>
      <c r="K115" s="12" t="s">
        <v>698</v>
      </c>
      <c r="L115" s="12" t="s">
        <v>751</v>
      </c>
      <c r="M115" s="12" t="s">
        <v>793</v>
      </c>
      <c r="N115" s="12" t="s">
        <v>237</v>
      </c>
      <c r="O115" s="12"/>
      <c r="P115" s="12"/>
      <c r="Q115" s="12"/>
      <c r="R115" s="12"/>
      <c r="S115" s="12"/>
      <c r="T115" s="12"/>
      <c r="U115" s="12"/>
      <c r="V115" s="12" t="s">
        <v>929</v>
      </c>
      <c r="W115" s="12" t="s">
        <v>1111</v>
      </c>
      <c r="X115" s="12" t="s">
        <v>1111</v>
      </c>
      <c r="Y115" s="12" t="s">
        <v>1970</v>
      </c>
      <c r="Z115" s="12"/>
      <c r="AA115" s="12"/>
      <c r="AB115" s="12"/>
      <c r="AC115" s="12" t="s">
        <v>2054</v>
      </c>
      <c r="AD115" s="12" t="s">
        <v>1110</v>
      </c>
      <c r="AE115" s="12" t="s">
        <v>2055</v>
      </c>
      <c r="AF115" s="12" t="s">
        <v>2056</v>
      </c>
      <c r="AG115" s="12" t="n">
        <f aca="false">COUNTIF(Variants!$B:$B,A115)</f>
        <v>1</v>
      </c>
      <c r="AH115" s="12" t="s">
        <v>1120</v>
      </c>
    </row>
    <row r="116" customFormat="false" ht="15" hidden="false" customHeight="false" outlineLevel="0" collapsed="false">
      <c r="A116" s="12" t="s">
        <v>2057</v>
      </c>
      <c r="B116" s="12" t="s">
        <v>2058</v>
      </c>
      <c r="C116" s="12" t="s">
        <v>1156</v>
      </c>
      <c r="D116" s="12" t="s">
        <v>1157</v>
      </c>
      <c r="E116" s="12" t="s">
        <v>1156</v>
      </c>
      <c r="F116" s="12" t="s">
        <v>442</v>
      </c>
      <c r="G116" s="12" t="s">
        <v>466</v>
      </c>
      <c r="H116" s="12" t="s">
        <v>2059</v>
      </c>
      <c r="I116" s="12" t="s">
        <v>113</v>
      </c>
      <c r="J116" s="12" t="s">
        <v>2060</v>
      </c>
      <c r="K116" s="12" t="s">
        <v>686</v>
      </c>
      <c r="L116" s="12" t="s">
        <v>754</v>
      </c>
      <c r="M116" s="12" t="s">
        <v>793</v>
      </c>
      <c r="N116" s="12" t="s">
        <v>237</v>
      </c>
      <c r="O116" s="12"/>
      <c r="P116" s="12"/>
      <c r="Q116" s="12"/>
      <c r="R116" s="12"/>
      <c r="S116" s="12"/>
      <c r="T116" s="12"/>
      <c r="U116" s="12"/>
      <c r="V116" s="12" t="s">
        <v>931</v>
      </c>
      <c r="W116" s="12" t="s">
        <v>1111</v>
      </c>
      <c r="X116" s="12" t="s">
        <v>1120</v>
      </c>
      <c r="Y116" s="12" t="s">
        <v>2061</v>
      </c>
      <c r="Z116" s="12" t="s">
        <v>2062</v>
      </c>
      <c r="AA116" s="12"/>
      <c r="AB116" s="12"/>
      <c r="AC116" s="12" t="s">
        <v>2063</v>
      </c>
      <c r="AD116" s="12" t="s">
        <v>1159</v>
      </c>
      <c r="AE116" s="12" t="s">
        <v>2064</v>
      </c>
      <c r="AF116" s="12" t="s">
        <v>2065</v>
      </c>
      <c r="AG116" s="12" t="n">
        <f aca="false">COUNTIF(Variants!$B:$B,A116)</f>
        <v>1</v>
      </c>
      <c r="AH116" s="12" t="s">
        <v>1120</v>
      </c>
    </row>
  </sheetData>
  <autoFilter ref="A1:AH116"/>
  <dataValidations count="2">
    <dataValidation allowBlank="true" errorStyle="stop" operator="between" showDropDown="false" showErrorMessage="false" showInputMessage="false" sqref="G2:G166" type="list">
      <formula1>Categories!$A$2:$A$39</formula1>
      <formula2>0</formula2>
    </dataValidation>
    <dataValidation allowBlank="true" errorStyle="stop" operator="between" showDropDown="false" showErrorMessage="false" showInputMessage="false" sqref="C2:C166" type="list">
      <formula1>Brands!$A$2:$A$25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false"/>
  </sheetPr>
  <dimension ref="A1:M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34"/>
    <col collapsed="false" customWidth="true" hidden="false" outlineLevel="0" max="4" min="4" style="0" width="17"/>
    <col collapsed="false" customWidth="true" hidden="false" outlineLevel="0" max="5" min="5" style="0" width="50"/>
    <col collapsed="false" customWidth="true" hidden="false" outlineLevel="0" max="6" min="6" style="0" width="17"/>
    <col collapsed="false" customWidth="true" hidden="false" outlineLevel="0" max="7" min="7" style="0" width="16"/>
    <col collapsed="false" customWidth="true" hidden="false" outlineLevel="0" max="8" min="8" style="0" width="14"/>
    <col collapsed="false" customWidth="true" hidden="false" outlineLevel="0" max="10" min="9" style="0" width="15"/>
    <col collapsed="false" customWidth="true" hidden="false" outlineLevel="0" max="11" min="11" style="0" width="21"/>
    <col collapsed="false" customWidth="true" hidden="false" outlineLevel="0" max="12" min="12" style="0" width="15"/>
    <col collapsed="false" customWidth="true" hidden="false" outlineLevel="0" max="13" min="13" style="0" width="19"/>
  </cols>
  <sheetData>
    <row r="1" customFormat="false" ht="31.5" hidden="false" customHeight="true" outlineLevel="0" collapsed="false">
      <c r="A1" s="13" t="s">
        <v>2066</v>
      </c>
      <c r="B1" s="13" t="s">
        <v>1357</v>
      </c>
      <c r="C1" s="13" t="s">
        <v>1358</v>
      </c>
      <c r="D1" s="13" t="s">
        <v>2067</v>
      </c>
      <c r="E1" s="13" t="s">
        <v>1184</v>
      </c>
      <c r="F1" s="13" t="s">
        <v>592</v>
      </c>
      <c r="G1" s="13" t="s">
        <v>598</v>
      </c>
      <c r="H1" s="13" t="s">
        <v>601</v>
      </c>
      <c r="I1" s="13" t="s">
        <v>605</v>
      </c>
      <c r="J1" s="13" t="s">
        <v>609</v>
      </c>
      <c r="K1" s="13" t="s">
        <v>2068</v>
      </c>
      <c r="L1" s="13" t="s">
        <v>645</v>
      </c>
      <c r="M1" s="13" t="s">
        <v>2069</v>
      </c>
    </row>
    <row r="2" customFormat="false" ht="15" hidden="false" customHeight="false" outlineLevel="0" collapsed="false">
      <c r="A2" s="12" t="s">
        <v>2070</v>
      </c>
      <c r="B2" s="12" t="s">
        <v>1366</v>
      </c>
      <c r="C2" s="12" t="s">
        <v>1367</v>
      </c>
      <c r="D2" s="12" t="s">
        <v>2071</v>
      </c>
      <c r="E2" s="12" t="s">
        <v>2072</v>
      </c>
      <c r="F2" s="12" t="n">
        <v>25</v>
      </c>
      <c r="G2" s="12" t="s">
        <v>955</v>
      </c>
      <c r="H2" s="12" t="s">
        <v>975</v>
      </c>
      <c r="I2" s="12" t="n">
        <v>25.2</v>
      </c>
      <c r="J2" s="16" t="s">
        <v>2073</v>
      </c>
      <c r="K2" s="15" t="n">
        <v>42000</v>
      </c>
      <c r="L2" s="12" t="n">
        <v>1</v>
      </c>
      <c r="M2" s="12" t="n">
        <f aca="false">IF(COUNTIF(Products!$A:$A,B2)=0,"",IF(INDEX(Products!$G:$G,MATCH(B2,Products!$A:$A,0))="C7010","Hatch_Schedule: "&amp;COUNTIF(Hatch_Schedule!$B:$B,A2)&amp;" dates",COUNTIF(Store_Inventory!$C:$C,A2)))</f>
        <v>2</v>
      </c>
    </row>
    <row r="3" customFormat="false" ht="15" hidden="false" customHeight="false" outlineLevel="0" collapsed="false">
      <c r="A3" s="12" t="s">
        <v>2074</v>
      </c>
      <c r="B3" s="12" t="s">
        <v>1366</v>
      </c>
      <c r="C3" s="12" t="s">
        <v>1367</v>
      </c>
      <c r="D3" s="12" t="s">
        <v>2075</v>
      </c>
      <c r="E3" s="12" t="s">
        <v>2076</v>
      </c>
      <c r="F3" s="12" t="n">
        <v>50</v>
      </c>
      <c r="G3" s="12" t="s">
        <v>955</v>
      </c>
      <c r="H3" s="12" t="s">
        <v>975</v>
      </c>
      <c r="I3" s="12" t="n">
        <v>50.3</v>
      </c>
      <c r="J3" s="16" t="s">
        <v>2077</v>
      </c>
      <c r="K3" s="15" t="n">
        <v>82000</v>
      </c>
      <c r="L3" s="12" t="n">
        <v>1</v>
      </c>
      <c r="M3" s="12" t="n">
        <f aca="false">IF(COUNTIF(Products!$A:$A,B3)=0,"",IF(INDEX(Products!$G:$G,MATCH(B3,Products!$A:$A,0))="C7010","Hatch_Schedule: "&amp;COUNTIF(Hatch_Schedule!$B:$B,A3)&amp;" dates",COUNTIF(Store_Inventory!$C:$C,A3)))</f>
        <v>5</v>
      </c>
    </row>
    <row r="4" customFormat="false" ht="15" hidden="false" customHeight="false" outlineLevel="0" collapsed="false">
      <c r="A4" s="12" t="s">
        <v>2078</v>
      </c>
      <c r="B4" s="12" t="s">
        <v>1374</v>
      </c>
      <c r="C4" s="12" t="s">
        <v>1375</v>
      </c>
      <c r="D4" s="12" t="s">
        <v>2071</v>
      </c>
      <c r="E4" s="12" t="s">
        <v>2079</v>
      </c>
      <c r="F4" s="12" t="n">
        <v>25</v>
      </c>
      <c r="G4" s="12" t="s">
        <v>955</v>
      </c>
      <c r="H4" s="12" t="s">
        <v>975</v>
      </c>
      <c r="I4" s="12" t="n">
        <v>25.2</v>
      </c>
      <c r="J4" s="16" t="s">
        <v>2080</v>
      </c>
      <c r="K4" s="15" t="n">
        <v>40000</v>
      </c>
      <c r="L4" s="12" t="n">
        <v>1</v>
      </c>
      <c r="M4" s="12" t="n">
        <f aca="false">IF(COUNTIF(Products!$A:$A,B4)=0,"",IF(INDEX(Products!$G:$G,MATCH(B4,Products!$A:$A,0))="C7010","Hatch_Schedule: "&amp;COUNTIF(Hatch_Schedule!$B:$B,A4)&amp;" dates",COUNTIF(Store_Inventory!$C:$C,A4)))</f>
        <v>2</v>
      </c>
    </row>
    <row r="5" customFormat="false" ht="15" hidden="false" customHeight="false" outlineLevel="0" collapsed="false">
      <c r="A5" s="12" t="s">
        <v>2081</v>
      </c>
      <c r="B5" s="12" t="s">
        <v>1374</v>
      </c>
      <c r="C5" s="12" t="s">
        <v>1375</v>
      </c>
      <c r="D5" s="12" t="s">
        <v>2075</v>
      </c>
      <c r="E5" s="12" t="s">
        <v>2082</v>
      </c>
      <c r="F5" s="12" t="n">
        <v>50</v>
      </c>
      <c r="G5" s="12" t="s">
        <v>955</v>
      </c>
      <c r="H5" s="12" t="s">
        <v>975</v>
      </c>
      <c r="I5" s="12" t="n">
        <v>50.3</v>
      </c>
      <c r="J5" s="16" t="s">
        <v>2083</v>
      </c>
      <c r="K5" s="15" t="n">
        <v>78000</v>
      </c>
      <c r="L5" s="12" t="n">
        <v>1</v>
      </c>
      <c r="M5" s="12" t="n">
        <f aca="false">IF(COUNTIF(Products!$A:$A,B5)=0,"",IF(INDEX(Products!$G:$G,MATCH(B5,Products!$A:$A,0))="C7010","Hatch_Schedule: "&amp;COUNTIF(Hatch_Schedule!$B:$B,A5)&amp;" dates",COUNTIF(Store_Inventory!$C:$C,A5)))</f>
        <v>4</v>
      </c>
    </row>
    <row r="6" customFormat="false" ht="15" hidden="false" customHeight="false" outlineLevel="0" collapsed="false">
      <c r="A6" s="12" t="s">
        <v>2084</v>
      </c>
      <c r="B6" s="12" t="s">
        <v>1379</v>
      </c>
      <c r="C6" s="12" t="s">
        <v>1380</v>
      </c>
      <c r="D6" s="12" t="s">
        <v>2071</v>
      </c>
      <c r="E6" s="12" t="s">
        <v>2085</v>
      </c>
      <c r="F6" s="12" t="n">
        <v>25</v>
      </c>
      <c r="G6" s="12" t="s">
        <v>955</v>
      </c>
      <c r="H6" s="12" t="s">
        <v>975</v>
      </c>
      <c r="I6" s="12" t="n">
        <v>25.2</v>
      </c>
      <c r="J6" s="16" t="s">
        <v>2086</v>
      </c>
      <c r="K6" s="15" t="n">
        <v>39000</v>
      </c>
      <c r="L6" s="12" t="n">
        <v>1</v>
      </c>
      <c r="M6" s="12" t="n">
        <f aca="false">IF(COUNTIF(Products!$A:$A,B6)=0,"",IF(INDEX(Products!$G:$G,MATCH(B6,Products!$A:$A,0))="C7010","Hatch_Schedule: "&amp;COUNTIF(Hatch_Schedule!$B:$B,A6)&amp;" dates",COUNTIF(Store_Inventory!$C:$C,A6)))</f>
        <v>4</v>
      </c>
    </row>
    <row r="7" customFormat="false" ht="15" hidden="false" customHeight="false" outlineLevel="0" collapsed="false">
      <c r="A7" s="12" t="s">
        <v>2087</v>
      </c>
      <c r="B7" s="12" t="s">
        <v>1379</v>
      </c>
      <c r="C7" s="12" t="s">
        <v>1380</v>
      </c>
      <c r="D7" s="12" t="s">
        <v>2075</v>
      </c>
      <c r="E7" s="12" t="s">
        <v>2088</v>
      </c>
      <c r="F7" s="12" t="n">
        <v>50</v>
      </c>
      <c r="G7" s="12" t="s">
        <v>955</v>
      </c>
      <c r="H7" s="12" t="s">
        <v>975</v>
      </c>
      <c r="I7" s="12" t="n">
        <v>50.3</v>
      </c>
      <c r="J7" s="16" t="s">
        <v>2089</v>
      </c>
      <c r="K7" s="15" t="n">
        <v>76000</v>
      </c>
      <c r="L7" s="12" t="n">
        <v>1</v>
      </c>
      <c r="M7" s="12" t="n">
        <f aca="false">IF(COUNTIF(Products!$A:$A,B7)=0,"",IF(INDEX(Products!$G:$G,MATCH(B7,Products!$A:$A,0))="C7010","Hatch_Schedule: "&amp;COUNTIF(Hatch_Schedule!$B:$B,A7)&amp;" dates",COUNTIF(Store_Inventory!$C:$C,A7)))</f>
        <v>3</v>
      </c>
    </row>
    <row r="8" customFormat="false" ht="15" hidden="false" customHeight="false" outlineLevel="0" collapsed="false">
      <c r="A8" s="12" t="s">
        <v>2090</v>
      </c>
      <c r="B8" s="12" t="s">
        <v>1384</v>
      </c>
      <c r="C8" s="12" t="s">
        <v>1385</v>
      </c>
      <c r="D8" s="12" t="s">
        <v>2075</v>
      </c>
      <c r="E8" s="12" t="s">
        <v>2091</v>
      </c>
      <c r="F8" s="12" t="n">
        <v>50</v>
      </c>
      <c r="G8" s="12" t="s">
        <v>955</v>
      </c>
      <c r="H8" s="12" t="s">
        <v>975</v>
      </c>
      <c r="I8" s="12" t="n">
        <v>50.3</v>
      </c>
      <c r="J8" s="16" t="s">
        <v>2092</v>
      </c>
      <c r="K8" s="15" t="n">
        <v>70000</v>
      </c>
      <c r="L8" s="12" t="n">
        <v>1</v>
      </c>
      <c r="M8" s="12" t="n">
        <f aca="false">IF(COUNTIF(Products!$A:$A,B8)=0,"",IF(INDEX(Products!$G:$G,MATCH(B8,Products!$A:$A,0))="C7010","Hatch_Schedule: "&amp;COUNTIF(Hatch_Schedule!$B:$B,A8)&amp;" dates",COUNTIF(Store_Inventory!$C:$C,A8)))</f>
        <v>4</v>
      </c>
    </row>
    <row r="9" customFormat="false" ht="15" hidden="false" customHeight="false" outlineLevel="0" collapsed="false">
      <c r="A9" s="12" t="s">
        <v>2093</v>
      </c>
      <c r="B9" s="12" t="s">
        <v>1391</v>
      </c>
      <c r="C9" s="12" t="s">
        <v>1392</v>
      </c>
      <c r="D9" s="12" t="s">
        <v>2071</v>
      </c>
      <c r="E9" s="12" t="s">
        <v>2094</v>
      </c>
      <c r="F9" s="12" t="n">
        <v>25</v>
      </c>
      <c r="G9" s="12" t="s">
        <v>955</v>
      </c>
      <c r="H9" s="12" t="s">
        <v>975</v>
      </c>
      <c r="I9" s="12" t="n">
        <v>25.2</v>
      </c>
      <c r="J9" s="16" t="s">
        <v>2095</v>
      </c>
      <c r="K9" s="15" t="n">
        <v>32000</v>
      </c>
      <c r="L9" s="12" t="n">
        <v>1</v>
      </c>
      <c r="M9" s="12" t="n">
        <f aca="false">IF(COUNTIF(Products!$A:$A,B9)=0,"",IF(INDEX(Products!$G:$G,MATCH(B9,Products!$A:$A,0))="C7010","Hatch_Schedule: "&amp;COUNTIF(Hatch_Schedule!$B:$B,A9)&amp;" dates",COUNTIF(Store_Inventory!$C:$C,A9)))</f>
        <v>5</v>
      </c>
    </row>
    <row r="10" customFormat="false" ht="15" hidden="false" customHeight="false" outlineLevel="0" collapsed="false">
      <c r="A10" s="12" t="s">
        <v>2096</v>
      </c>
      <c r="B10" s="12" t="s">
        <v>1391</v>
      </c>
      <c r="C10" s="12" t="s">
        <v>1392</v>
      </c>
      <c r="D10" s="12" t="s">
        <v>2075</v>
      </c>
      <c r="E10" s="12" t="s">
        <v>2097</v>
      </c>
      <c r="F10" s="12" t="n">
        <v>50</v>
      </c>
      <c r="G10" s="12" t="s">
        <v>955</v>
      </c>
      <c r="H10" s="12" t="s">
        <v>975</v>
      </c>
      <c r="I10" s="12" t="n">
        <v>50.3</v>
      </c>
      <c r="J10" s="16" t="s">
        <v>2098</v>
      </c>
      <c r="K10" s="15" t="n">
        <v>62000</v>
      </c>
      <c r="L10" s="12" t="n">
        <v>1</v>
      </c>
      <c r="M10" s="12" t="n">
        <f aca="false">IF(COUNTIF(Products!$A:$A,B10)=0,"",IF(INDEX(Products!$G:$G,MATCH(B10,Products!$A:$A,0))="C7010","Hatch_Schedule: "&amp;COUNTIF(Hatch_Schedule!$B:$B,A10)&amp;" dates",COUNTIF(Store_Inventory!$C:$C,A10)))</f>
        <v>4</v>
      </c>
    </row>
    <row r="11" customFormat="false" ht="15" hidden="false" customHeight="false" outlineLevel="0" collapsed="false">
      <c r="A11" s="12" t="s">
        <v>2099</v>
      </c>
      <c r="B11" s="12" t="s">
        <v>1396</v>
      </c>
      <c r="C11" s="12" t="s">
        <v>1397</v>
      </c>
      <c r="D11" s="12" t="s">
        <v>2071</v>
      </c>
      <c r="E11" s="12" t="s">
        <v>2100</v>
      </c>
      <c r="F11" s="12" t="n">
        <v>25</v>
      </c>
      <c r="G11" s="12" t="s">
        <v>955</v>
      </c>
      <c r="H11" s="12" t="s">
        <v>975</v>
      </c>
      <c r="I11" s="12" t="n">
        <v>25.2</v>
      </c>
      <c r="J11" s="16" t="s">
        <v>2101</v>
      </c>
      <c r="K11" s="15" t="n">
        <v>31000</v>
      </c>
      <c r="L11" s="12" t="n">
        <v>1</v>
      </c>
      <c r="M11" s="12" t="n">
        <f aca="false">IF(COUNTIF(Products!$A:$A,B11)=0,"",IF(INDEX(Products!$G:$G,MATCH(B11,Products!$A:$A,0))="C7010","Hatch_Schedule: "&amp;COUNTIF(Hatch_Schedule!$B:$B,A11)&amp;" dates",COUNTIF(Store_Inventory!$C:$C,A11)))</f>
        <v>3</v>
      </c>
    </row>
    <row r="12" customFormat="false" ht="15" hidden="false" customHeight="false" outlineLevel="0" collapsed="false">
      <c r="A12" s="12" t="s">
        <v>2102</v>
      </c>
      <c r="B12" s="12" t="s">
        <v>1396</v>
      </c>
      <c r="C12" s="12" t="s">
        <v>1397</v>
      </c>
      <c r="D12" s="12" t="s">
        <v>2075</v>
      </c>
      <c r="E12" s="12" t="s">
        <v>2103</v>
      </c>
      <c r="F12" s="12" t="n">
        <v>50</v>
      </c>
      <c r="G12" s="12" t="s">
        <v>955</v>
      </c>
      <c r="H12" s="12" t="s">
        <v>975</v>
      </c>
      <c r="I12" s="12" t="n">
        <v>50.3</v>
      </c>
      <c r="J12" s="16" t="s">
        <v>2104</v>
      </c>
      <c r="K12" s="15" t="n">
        <v>60000</v>
      </c>
      <c r="L12" s="12" t="n">
        <v>1</v>
      </c>
      <c r="M12" s="12" t="n">
        <f aca="false">IF(COUNTIF(Products!$A:$A,B12)=0,"",IF(INDEX(Products!$G:$G,MATCH(B12,Products!$A:$A,0))="C7010","Hatch_Schedule: "&amp;COUNTIF(Hatch_Schedule!$B:$B,A12)&amp;" dates",COUNTIF(Store_Inventory!$C:$C,A12)))</f>
        <v>5</v>
      </c>
    </row>
    <row r="13" customFormat="false" ht="15" hidden="false" customHeight="false" outlineLevel="0" collapsed="false">
      <c r="A13" s="12" t="s">
        <v>2105</v>
      </c>
      <c r="B13" s="12" t="s">
        <v>1401</v>
      </c>
      <c r="C13" s="12" t="s">
        <v>1402</v>
      </c>
      <c r="D13" s="12" t="s">
        <v>2075</v>
      </c>
      <c r="E13" s="12" t="s">
        <v>2106</v>
      </c>
      <c r="F13" s="12" t="n">
        <v>50</v>
      </c>
      <c r="G13" s="12" t="s">
        <v>955</v>
      </c>
      <c r="H13" s="12" t="s">
        <v>975</v>
      </c>
      <c r="I13" s="12" t="n">
        <v>50.3</v>
      </c>
      <c r="J13" s="16" t="s">
        <v>2107</v>
      </c>
      <c r="K13" s="15" t="n">
        <v>58000</v>
      </c>
      <c r="L13" s="12" t="n">
        <v>1</v>
      </c>
      <c r="M13" s="12" t="n">
        <f aca="false">IF(COUNTIF(Products!$A:$A,B13)=0,"",IF(INDEX(Products!$G:$G,MATCH(B13,Products!$A:$A,0))="C7010","Hatch_Schedule: "&amp;COUNTIF(Hatch_Schedule!$B:$B,A13)&amp;" dates",COUNTIF(Store_Inventory!$C:$C,A13)))</f>
        <v>5</v>
      </c>
    </row>
    <row r="14" customFormat="false" ht="15" hidden="false" customHeight="false" outlineLevel="0" collapsed="false">
      <c r="A14" s="12" t="s">
        <v>2108</v>
      </c>
      <c r="B14" s="12" t="s">
        <v>1406</v>
      </c>
      <c r="C14" s="12" t="s">
        <v>1407</v>
      </c>
      <c r="D14" s="12" t="s">
        <v>2071</v>
      </c>
      <c r="E14" s="12" t="s">
        <v>2109</v>
      </c>
      <c r="F14" s="12" t="n">
        <v>25</v>
      </c>
      <c r="G14" s="12" t="s">
        <v>955</v>
      </c>
      <c r="H14" s="12" t="s">
        <v>975</v>
      </c>
      <c r="I14" s="12" t="n">
        <v>25.2</v>
      </c>
      <c r="J14" s="16" t="s">
        <v>2110</v>
      </c>
      <c r="K14" s="15" t="n">
        <v>48000</v>
      </c>
      <c r="L14" s="12" t="n">
        <v>1</v>
      </c>
      <c r="M14" s="12" t="n">
        <f aca="false">IF(COUNTIF(Products!$A:$A,B14)=0,"",IF(INDEX(Products!$G:$G,MATCH(B14,Products!$A:$A,0))="C7010","Hatch_Schedule: "&amp;COUNTIF(Hatch_Schedule!$B:$B,A14)&amp;" dates",COUNTIF(Store_Inventory!$C:$C,A14)))</f>
        <v>3</v>
      </c>
    </row>
    <row r="15" customFormat="false" ht="15" hidden="false" customHeight="false" outlineLevel="0" collapsed="false">
      <c r="A15" s="12" t="s">
        <v>2111</v>
      </c>
      <c r="B15" s="12" t="s">
        <v>1412</v>
      </c>
      <c r="C15" s="12" t="s">
        <v>1413</v>
      </c>
      <c r="D15" s="12" t="s">
        <v>2075</v>
      </c>
      <c r="E15" s="12" t="s">
        <v>2112</v>
      </c>
      <c r="F15" s="12" t="n">
        <v>50</v>
      </c>
      <c r="G15" s="12" t="s">
        <v>955</v>
      </c>
      <c r="H15" s="12" t="s">
        <v>975</v>
      </c>
      <c r="I15" s="12" t="n">
        <v>50.3</v>
      </c>
      <c r="J15" s="16" t="s">
        <v>2113</v>
      </c>
      <c r="K15" s="15" t="n">
        <v>66000</v>
      </c>
      <c r="L15" s="12" t="n">
        <v>1</v>
      </c>
      <c r="M15" s="12" t="n">
        <f aca="false">IF(COUNTIF(Products!$A:$A,B15)=0,"",IF(INDEX(Products!$G:$G,MATCH(B15,Products!$A:$A,0))="C7010","Hatch_Schedule: "&amp;COUNTIF(Hatch_Schedule!$B:$B,A15)&amp;" dates",COUNTIF(Store_Inventory!$C:$C,A15)))</f>
        <v>3</v>
      </c>
    </row>
    <row r="16" customFormat="false" ht="15" hidden="false" customHeight="false" outlineLevel="0" collapsed="false">
      <c r="A16" s="12" t="s">
        <v>2114</v>
      </c>
      <c r="B16" s="12" t="s">
        <v>1417</v>
      </c>
      <c r="C16" s="12" t="s">
        <v>1418</v>
      </c>
      <c r="D16" s="12" t="s">
        <v>2075</v>
      </c>
      <c r="E16" s="12" t="s">
        <v>2115</v>
      </c>
      <c r="F16" s="12" t="n">
        <v>50</v>
      </c>
      <c r="G16" s="12" t="s">
        <v>955</v>
      </c>
      <c r="H16" s="12" t="s">
        <v>975</v>
      </c>
      <c r="I16" s="12" t="n">
        <v>50.3</v>
      </c>
      <c r="J16" s="16" t="s">
        <v>2116</v>
      </c>
      <c r="K16" s="15" t="n">
        <v>60000</v>
      </c>
      <c r="L16" s="12" t="n">
        <v>1</v>
      </c>
      <c r="M16" s="12" t="n">
        <f aca="false">IF(COUNTIF(Products!$A:$A,B16)=0,"",IF(INDEX(Products!$G:$G,MATCH(B16,Products!$A:$A,0))="C7010","Hatch_Schedule: "&amp;COUNTIF(Hatch_Schedule!$B:$B,A16)&amp;" dates",COUNTIF(Store_Inventory!$C:$C,A16)))</f>
        <v>3</v>
      </c>
    </row>
    <row r="17" customFormat="false" ht="15" hidden="false" customHeight="false" outlineLevel="0" collapsed="false">
      <c r="A17" s="12" t="s">
        <v>2117</v>
      </c>
      <c r="B17" s="12" t="s">
        <v>1423</v>
      </c>
      <c r="C17" s="12" t="s">
        <v>1424</v>
      </c>
      <c r="D17" s="12" t="s">
        <v>2075</v>
      </c>
      <c r="E17" s="12" t="s">
        <v>2118</v>
      </c>
      <c r="F17" s="12" t="n">
        <v>50</v>
      </c>
      <c r="G17" s="12" t="s">
        <v>955</v>
      </c>
      <c r="H17" s="12" t="s">
        <v>975</v>
      </c>
      <c r="I17" s="12" t="n">
        <v>50.3</v>
      </c>
      <c r="J17" s="16" t="s">
        <v>2119</v>
      </c>
      <c r="K17" s="15" t="n">
        <v>48000</v>
      </c>
      <c r="L17" s="12" t="n">
        <v>1</v>
      </c>
      <c r="M17" s="12" t="n">
        <f aca="false">IF(COUNTIF(Products!$A:$A,B17)=0,"",IF(INDEX(Products!$G:$G,MATCH(B17,Products!$A:$A,0))="C7010","Hatch_Schedule: "&amp;COUNTIF(Hatch_Schedule!$B:$B,A17)&amp;" dates",COUNTIF(Store_Inventory!$C:$C,A17)))</f>
        <v>4</v>
      </c>
    </row>
    <row r="18" customFormat="false" ht="15" hidden="false" customHeight="false" outlineLevel="0" collapsed="false">
      <c r="A18" s="12" t="s">
        <v>2120</v>
      </c>
      <c r="B18" s="12" t="s">
        <v>1423</v>
      </c>
      <c r="C18" s="12" t="s">
        <v>1424</v>
      </c>
      <c r="D18" s="12" t="s">
        <v>2121</v>
      </c>
      <c r="E18" s="12" t="s">
        <v>2122</v>
      </c>
      <c r="F18" s="12" t="n">
        <v>70</v>
      </c>
      <c r="G18" s="12" t="s">
        <v>955</v>
      </c>
      <c r="H18" s="12" t="s">
        <v>975</v>
      </c>
      <c r="I18" s="12" t="n">
        <v>70.4</v>
      </c>
      <c r="J18" s="16" t="s">
        <v>2123</v>
      </c>
      <c r="K18" s="15" t="n">
        <v>65000</v>
      </c>
      <c r="L18" s="12" t="n">
        <v>1</v>
      </c>
      <c r="M18" s="12" t="n">
        <f aca="false">IF(COUNTIF(Products!$A:$A,B18)=0,"",IF(INDEX(Products!$G:$G,MATCH(B18,Products!$A:$A,0))="C7010","Hatch_Schedule: "&amp;COUNTIF(Hatch_Schedule!$B:$B,A18)&amp;" dates",COUNTIF(Store_Inventory!$C:$C,A18)))</f>
        <v>5</v>
      </c>
    </row>
    <row r="19" customFormat="false" ht="15" hidden="false" customHeight="false" outlineLevel="0" collapsed="false">
      <c r="A19" s="12" t="s">
        <v>2124</v>
      </c>
      <c r="B19" s="12" t="s">
        <v>1428</v>
      </c>
      <c r="C19" s="12" t="s">
        <v>1429</v>
      </c>
      <c r="D19" s="12" t="s">
        <v>2071</v>
      </c>
      <c r="E19" s="12" t="s">
        <v>2125</v>
      </c>
      <c r="F19" s="12" t="n">
        <v>25</v>
      </c>
      <c r="G19" s="12" t="s">
        <v>955</v>
      </c>
      <c r="H19" s="12" t="s">
        <v>975</v>
      </c>
      <c r="I19" s="12" t="n">
        <v>25.2</v>
      </c>
      <c r="J19" s="16" t="s">
        <v>2126</v>
      </c>
      <c r="K19" s="15" t="n">
        <v>45000</v>
      </c>
      <c r="L19" s="12" t="n">
        <v>1</v>
      </c>
      <c r="M19" s="12" t="n">
        <f aca="false">IF(COUNTIF(Products!$A:$A,B19)=0,"",IF(INDEX(Products!$G:$G,MATCH(B19,Products!$A:$A,0))="C7010","Hatch_Schedule: "&amp;COUNTIF(Hatch_Schedule!$B:$B,A19)&amp;" dates",COUNTIF(Store_Inventory!$C:$C,A19)))</f>
        <v>4</v>
      </c>
    </row>
    <row r="20" customFormat="false" ht="15" hidden="false" customHeight="false" outlineLevel="0" collapsed="false">
      <c r="A20" s="12" t="s">
        <v>2127</v>
      </c>
      <c r="B20" s="12" t="s">
        <v>1435</v>
      </c>
      <c r="C20" s="12" t="s">
        <v>1436</v>
      </c>
      <c r="D20" s="12" t="s">
        <v>2075</v>
      </c>
      <c r="E20" s="12" t="s">
        <v>2128</v>
      </c>
      <c r="F20" s="12" t="n">
        <v>50</v>
      </c>
      <c r="G20" s="12" t="s">
        <v>955</v>
      </c>
      <c r="H20" s="12" t="s">
        <v>975</v>
      </c>
      <c r="I20" s="12" t="n">
        <v>50.3</v>
      </c>
      <c r="J20" s="16" t="s">
        <v>2129</v>
      </c>
      <c r="K20" s="15" t="n">
        <v>45000</v>
      </c>
      <c r="L20" s="12" t="n">
        <v>1</v>
      </c>
      <c r="M20" s="12" t="n">
        <f aca="false">IF(COUNTIF(Products!$A:$A,B20)=0,"",IF(INDEX(Products!$G:$G,MATCH(B20,Products!$A:$A,0))="C7010","Hatch_Schedule: "&amp;COUNTIF(Hatch_Schedule!$B:$B,A20)&amp;" dates",COUNTIF(Store_Inventory!$C:$C,A20)))</f>
        <v>3</v>
      </c>
    </row>
    <row r="21" customFormat="false" ht="15" hidden="false" customHeight="false" outlineLevel="0" collapsed="false">
      <c r="A21" s="12" t="s">
        <v>2130</v>
      </c>
      <c r="B21" s="12" t="s">
        <v>1442</v>
      </c>
      <c r="C21" s="12" t="s">
        <v>1443</v>
      </c>
      <c r="D21" s="12" t="s">
        <v>2071</v>
      </c>
      <c r="E21" s="12" t="s">
        <v>2131</v>
      </c>
      <c r="F21" s="12" t="n">
        <v>25</v>
      </c>
      <c r="G21" s="12" t="s">
        <v>955</v>
      </c>
      <c r="H21" s="12" t="s">
        <v>975</v>
      </c>
      <c r="I21" s="12" t="n">
        <v>25.2</v>
      </c>
      <c r="J21" s="16" t="s">
        <v>2132</v>
      </c>
      <c r="K21" s="15" t="n">
        <v>95000</v>
      </c>
      <c r="L21" s="12" t="n">
        <v>1</v>
      </c>
      <c r="M21" s="12" t="n">
        <f aca="false">IF(COUNTIF(Products!$A:$A,B21)=0,"",IF(INDEX(Products!$G:$G,MATCH(B21,Products!$A:$A,0))="C7010","Hatch_Schedule: "&amp;COUNTIF(Hatch_Schedule!$B:$B,A21)&amp;" dates",COUNTIF(Store_Inventory!$C:$C,A21)))</f>
        <v>2</v>
      </c>
    </row>
    <row r="22" customFormat="false" ht="15" hidden="false" customHeight="false" outlineLevel="0" collapsed="false">
      <c r="A22" s="12" t="s">
        <v>2133</v>
      </c>
      <c r="B22" s="12" t="s">
        <v>1447</v>
      </c>
      <c r="C22" s="12" t="s">
        <v>1448</v>
      </c>
      <c r="D22" s="12" t="s">
        <v>2071</v>
      </c>
      <c r="E22" s="12" t="s">
        <v>2134</v>
      </c>
      <c r="F22" s="12" t="n">
        <v>25</v>
      </c>
      <c r="G22" s="12" t="s">
        <v>955</v>
      </c>
      <c r="H22" s="12" t="s">
        <v>975</v>
      </c>
      <c r="I22" s="12" t="n">
        <v>25.2</v>
      </c>
      <c r="J22" s="16" t="s">
        <v>2135</v>
      </c>
      <c r="K22" s="15" t="n">
        <v>82000</v>
      </c>
      <c r="L22" s="12" t="n">
        <v>1</v>
      </c>
      <c r="M22" s="12" t="n">
        <f aca="false">IF(COUNTIF(Products!$A:$A,B22)=0,"",IF(INDEX(Products!$G:$G,MATCH(B22,Products!$A:$A,0))="C7010","Hatch_Schedule: "&amp;COUNTIF(Hatch_Schedule!$B:$B,A22)&amp;" dates",COUNTIF(Store_Inventory!$C:$C,A22)))</f>
        <v>2</v>
      </c>
    </row>
    <row r="23" customFormat="false" ht="15" hidden="false" customHeight="false" outlineLevel="0" collapsed="false">
      <c r="A23" s="12" t="s">
        <v>2136</v>
      </c>
      <c r="B23" s="12" t="s">
        <v>1451</v>
      </c>
      <c r="C23" s="12" t="s">
        <v>1452</v>
      </c>
      <c r="D23" s="12" t="s">
        <v>2071</v>
      </c>
      <c r="E23" s="12" t="s">
        <v>2137</v>
      </c>
      <c r="F23" s="12" t="n">
        <v>25</v>
      </c>
      <c r="G23" s="12" t="s">
        <v>955</v>
      </c>
      <c r="H23" s="12" t="s">
        <v>975</v>
      </c>
      <c r="I23" s="12" t="n">
        <v>25.2</v>
      </c>
      <c r="J23" s="16" t="s">
        <v>2138</v>
      </c>
      <c r="K23" s="15" t="n">
        <v>98000</v>
      </c>
      <c r="L23" s="12" t="n">
        <v>1</v>
      </c>
      <c r="M23" s="12" t="n">
        <f aca="false">IF(COUNTIF(Products!$A:$A,B23)=0,"",IF(INDEX(Products!$G:$G,MATCH(B23,Products!$A:$A,0))="C7010","Hatch_Schedule: "&amp;COUNTIF(Hatch_Schedule!$B:$B,A23)&amp;" dates",COUNTIF(Store_Inventory!$C:$C,A23)))</f>
        <v>2</v>
      </c>
    </row>
    <row r="24" customFormat="false" ht="15" hidden="false" customHeight="false" outlineLevel="0" collapsed="false">
      <c r="A24" s="12" t="s">
        <v>2139</v>
      </c>
      <c r="B24" s="12" t="s">
        <v>1456</v>
      </c>
      <c r="C24" s="12" t="s">
        <v>1457</v>
      </c>
      <c r="D24" s="12" t="s">
        <v>2071</v>
      </c>
      <c r="E24" s="12" t="s">
        <v>2140</v>
      </c>
      <c r="F24" s="12" t="n">
        <v>25</v>
      </c>
      <c r="G24" s="12" t="s">
        <v>955</v>
      </c>
      <c r="H24" s="12" t="s">
        <v>975</v>
      </c>
      <c r="I24" s="12" t="n">
        <v>25.2</v>
      </c>
      <c r="J24" s="16" t="s">
        <v>2141</v>
      </c>
      <c r="K24" s="15" t="n">
        <v>38000</v>
      </c>
      <c r="L24" s="12" t="n">
        <v>1</v>
      </c>
      <c r="M24" s="12" t="n">
        <f aca="false">IF(COUNTIF(Products!$A:$A,B24)=0,"",IF(INDEX(Products!$G:$G,MATCH(B24,Products!$A:$A,0))="C7010","Hatch_Schedule: "&amp;COUNTIF(Hatch_Schedule!$B:$B,A24)&amp;" dates",COUNTIF(Store_Inventory!$C:$C,A24)))</f>
        <v>5</v>
      </c>
    </row>
    <row r="25" customFormat="false" ht="15" hidden="false" customHeight="false" outlineLevel="0" collapsed="false">
      <c r="A25" s="12" t="s">
        <v>2142</v>
      </c>
      <c r="B25" s="12" t="s">
        <v>1460</v>
      </c>
      <c r="C25" s="12" t="s">
        <v>1461</v>
      </c>
      <c r="D25" s="12" t="s">
        <v>2071</v>
      </c>
      <c r="E25" s="12" t="s">
        <v>2143</v>
      </c>
      <c r="F25" s="12" t="n">
        <v>25</v>
      </c>
      <c r="G25" s="12" t="s">
        <v>955</v>
      </c>
      <c r="H25" s="12" t="s">
        <v>975</v>
      </c>
      <c r="I25" s="12" t="n">
        <v>25.2</v>
      </c>
      <c r="J25" s="16" t="s">
        <v>2144</v>
      </c>
      <c r="K25" s="15" t="n">
        <v>49000</v>
      </c>
      <c r="L25" s="12" t="n">
        <v>1</v>
      </c>
      <c r="M25" s="12" t="n">
        <f aca="false">IF(COUNTIF(Products!$A:$A,B25)=0,"",IF(INDEX(Products!$G:$G,MATCH(B25,Products!$A:$A,0))="C7010","Hatch_Schedule: "&amp;COUNTIF(Hatch_Schedule!$B:$B,A25)&amp;" dates",COUNTIF(Store_Inventory!$C:$C,A25)))</f>
        <v>4</v>
      </c>
    </row>
    <row r="26" customFormat="false" ht="15" hidden="false" customHeight="false" outlineLevel="0" collapsed="false">
      <c r="A26" s="12" t="s">
        <v>2145</v>
      </c>
      <c r="B26" s="12" t="s">
        <v>1460</v>
      </c>
      <c r="C26" s="12" t="s">
        <v>1461</v>
      </c>
      <c r="D26" s="12" t="s">
        <v>2075</v>
      </c>
      <c r="E26" s="12" t="s">
        <v>2146</v>
      </c>
      <c r="F26" s="12" t="n">
        <v>50</v>
      </c>
      <c r="G26" s="12" t="s">
        <v>955</v>
      </c>
      <c r="H26" s="12" t="s">
        <v>975</v>
      </c>
      <c r="I26" s="12" t="n">
        <v>50.3</v>
      </c>
      <c r="J26" s="16" t="s">
        <v>2147</v>
      </c>
      <c r="K26" s="15" t="n">
        <v>95000</v>
      </c>
      <c r="L26" s="12" t="n">
        <v>1</v>
      </c>
      <c r="M26" s="12" t="n">
        <f aca="false">IF(COUNTIF(Products!$A:$A,B26)=0,"",IF(INDEX(Products!$G:$G,MATCH(B26,Products!$A:$A,0))="C7010","Hatch_Schedule: "&amp;COUNTIF(Hatch_Schedule!$B:$B,A26)&amp;" dates",COUNTIF(Store_Inventory!$C:$C,A26)))</f>
        <v>2</v>
      </c>
    </row>
    <row r="27" customFormat="false" ht="15" hidden="false" customHeight="false" outlineLevel="0" collapsed="false">
      <c r="A27" s="12" t="s">
        <v>2148</v>
      </c>
      <c r="B27" s="12" t="s">
        <v>1470</v>
      </c>
      <c r="C27" s="12" t="s">
        <v>1471</v>
      </c>
      <c r="D27" s="12" t="s">
        <v>2075</v>
      </c>
      <c r="E27" s="12" t="s">
        <v>2149</v>
      </c>
      <c r="F27" s="12" t="n">
        <v>50</v>
      </c>
      <c r="G27" s="12" t="s">
        <v>955</v>
      </c>
      <c r="H27" s="12" t="s">
        <v>975</v>
      </c>
      <c r="I27" s="12" t="n">
        <v>50.3</v>
      </c>
      <c r="J27" s="16" t="s">
        <v>2150</v>
      </c>
      <c r="K27" s="15" t="n">
        <v>105000</v>
      </c>
      <c r="L27" s="12" t="n">
        <v>1</v>
      </c>
      <c r="M27" s="12" t="n">
        <f aca="false">IF(COUNTIF(Products!$A:$A,B27)=0,"",IF(INDEX(Products!$G:$G,MATCH(B27,Products!$A:$A,0))="C7010","Hatch_Schedule: "&amp;COUNTIF(Hatch_Schedule!$B:$B,A27)&amp;" dates",COUNTIF(Store_Inventory!$C:$C,A27)))</f>
        <v>4</v>
      </c>
    </row>
    <row r="28" customFormat="false" ht="15" hidden="false" customHeight="false" outlineLevel="0" collapsed="false">
      <c r="A28" s="12" t="s">
        <v>2151</v>
      </c>
      <c r="B28" s="12" t="s">
        <v>1478</v>
      </c>
      <c r="C28" s="12" t="s">
        <v>1479</v>
      </c>
      <c r="D28" s="12" t="s">
        <v>2075</v>
      </c>
      <c r="E28" s="12" t="s">
        <v>2152</v>
      </c>
      <c r="F28" s="12" t="n">
        <v>50</v>
      </c>
      <c r="G28" s="12" t="s">
        <v>955</v>
      </c>
      <c r="H28" s="12" t="s">
        <v>975</v>
      </c>
      <c r="I28" s="12" t="n">
        <v>50.3</v>
      </c>
      <c r="J28" s="16" t="s">
        <v>2153</v>
      </c>
      <c r="K28" s="15" t="n">
        <v>92000</v>
      </c>
      <c r="L28" s="12" t="n">
        <v>1</v>
      </c>
      <c r="M28" s="12" t="n">
        <f aca="false">IF(COUNTIF(Products!$A:$A,B28)=0,"",IF(INDEX(Products!$G:$G,MATCH(B28,Products!$A:$A,0))="C7010","Hatch_Schedule: "&amp;COUNTIF(Hatch_Schedule!$B:$B,A28)&amp;" dates",COUNTIF(Store_Inventory!$C:$C,A28)))</f>
        <v>4</v>
      </c>
    </row>
    <row r="29" customFormat="false" ht="15" hidden="false" customHeight="false" outlineLevel="0" collapsed="false">
      <c r="A29" s="12" t="s">
        <v>2154</v>
      </c>
      <c r="B29" s="12" t="s">
        <v>1484</v>
      </c>
      <c r="C29" s="12" t="s">
        <v>1485</v>
      </c>
      <c r="D29" s="12" t="s">
        <v>2075</v>
      </c>
      <c r="E29" s="12" t="s">
        <v>2155</v>
      </c>
      <c r="F29" s="12" t="n">
        <v>50</v>
      </c>
      <c r="G29" s="12" t="s">
        <v>955</v>
      </c>
      <c r="H29" s="12" t="s">
        <v>975</v>
      </c>
      <c r="I29" s="12" t="n">
        <v>50.3</v>
      </c>
      <c r="J29" s="16" t="s">
        <v>2156</v>
      </c>
      <c r="K29" s="15" t="n">
        <v>70000</v>
      </c>
      <c r="L29" s="12" t="n">
        <v>1</v>
      </c>
      <c r="M29" s="12" t="n">
        <f aca="false">IF(COUNTIF(Products!$A:$A,B29)=0,"",IF(INDEX(Products!$G:$G,MATCH(B29,Products!$A:$A,0))="C7010","Hatch_Schedule: "&amp;COUNTIF(Hatch_Schedule!$B:$B,A29)&amp;" dates",COUNTIF(Store_Inventory!$C:$C,A29)))</f>
        <v>4</v>
      </c>
    </row>
    <row r="30" customFormat="false" ht="15" hidden="false" customHeight="false" outlineLevel="0" collapsed="false">
      <c r="A30" s="12" t="s">
        <v>2157</v>
      </c>
      <c r="B30" s="12" t="s">
        <v>1491</v>
      </c>
      <c r="C30" s="12" t="s">
        <v>1492</v>
      </c>
      <c r="D30" s="12" t="s">
        <v>2158</v>
      </c>
      <c r="E30" s="12" t="s">
        <v>2159</v>
      </c>
      <c r="F30" s="12" t="n">
        <v>1</v>
      </c>
      <c r="G30" s="12" t="s">
        <v>955</v>
      </c>
      <c r="H30" s="12" t="s">
        <v>989</v>
      </c>
      <c r="I30" s="12" t="n">
        <v>1.05</v>
      </c>
      <c r="J30" s="16" t="s">
        <v>2160</v>
      </c>
      <c r="K30" s="15" t="n">
        <v>9000</v>
      </c>
      <c r="L30" s="12" t="n">
        <v>1</v>
      </c>
      <c r="M30" s="12" t="n">
        <f aca="false">IF(COUNTIF(Products!$A:$A,B30)=0,"",IF(INDEX(Products!$G:$G,MATCH(B30,Products!$A:$A,0))="C7010","Hatch_Schedule: "&amp;COUNTIF(Hatch_Schedule!$B:$B,A30)&amp;" dates",COUNTIF(Store_Inventory!$C:$C,A30)))</f>
        <v>3</v>
      </c>
    </row>
    <row r="31" customFormat="false" ht="15" hidden="false" customHeight="false" outlineLevel="0" collapsed="false">
      <c r="A31" s="12" t="s">
        <v>2161</v>
      </c>
      <c r="B31" s="12" t="s">
        <v>1491</v>
      </c>
      <c r="C31" s="12" t="s">
        <v>1492</v>
      </c>
      <c r="D31" s="12" t="s">
        <v>2162</v>
      </c>
      <c r="E31" s="12" t="s">
        <v>2163</v>
      </c>
      <c r="F31" s="12" t="n">
        <v>5</v>
      </c>
      <c r="G31" s="12" t="s">
        <v>955</v>
      </c>
      <c r="H31" s="12" t="s">
        <v>975</v>
      </c>
      <c r="I31" s="12" t="n">
        <v>5.1</v>
      </c>
      <c r="J31" s="16" t="s">
        <v>2164</v>
      </c>
      <c r="K31" s="15" t="n">
        <v>42000</v>
      </c>
      <c r="L31" s="12" t="n">
        <v>1</v>
      </c>
      <c r="M31" s="12" t="n">
        <f aca="false">IF(COUNTIF(Products!$A:$A,B31)=0,"",IF(INDEX(Products!$G:$G,MATCH(B31,Products!$A:$A,0))="C7010","Hatch_Schedule: "&amp;COUNTIF(Hatch_Schedule!$B:$B,A31)&amp;" dates",COUNTIF(Store_Inventory!$C:$C,A31)))</f>
        <v>4</v>
      </c>
    </row>
    <row r="32" customFormat="false" ht="15" hidden="false" customHeight="false" outlineLevel="0" collapsed="false">
      <c r="A32" s="12" t="s">
        <v>2165</v>
      </c>
      <c r="B32" s="12" t="s">
        <v>1499</v>
      </c>
      <c r="C32" s="12" t="s">
        <v>1500</v>
      </c>
      <c r="D32" s="12" t="s">
        <v>2158</v>
      </c>
      <c r="E32" s="12" t="s">
        <v>2166</v>
      </c>
      <c r="F32" s="12" t="n">
        <v>1</v>
      </c>
      <c r="G32" s="12" t="s">
        <v>955</v>
      </c>
      <c r="H32" s="12" t="s">
        <v>989</v>
      </c>
      <c r="I32" s="12" t="n">
        <v>1.05</v>
      </c>
      <c r="J32" s="16" t="s">
        <v>2167</v>
      </c>
      <c r="K32" s="15" t="n">
        <v>8500</v>
      </c>
      <c r="L32" s="12" t="n">
        <v>1</v>
      </c>
      <c r="M32" s="12" t="n">
        <f aca="false">IF(COUNTIF(Products!$A:$A,B32)=0,"",IF(INDEX(Products!$G:$G,MATCH(B32,Products!$A:$A,0))="C7010","Hatch_Schedule: "&amp;COUNTIF(Hatch_Schedule!$B:$B,A32)&amp;" dates",COUNTIF(Store_Inventory!$C:$C,A32)))</f>
        <v>5</v>
      </c>
    </row>
    <row r="33" customFormat="false" ht="15" hidden="false" customHeight="false" outlineLevel="0" collapsed="false">
      <c r="A33" s="12" t="s">
        <v>2168</v>
      </c>
      <c r="B33" s="12" t="s">
        <v>1499</v>
      </c>
      <c r="C33" s="12" t="s">
        <v>1500</v>
      </c>
      <c r="D33" s="12" t="s">
        <v>2162</v>
      </c>
      <c r="E33" s="12" t="s">
        <v>2169</v>
      </c>
      <c r="F33" s="12" t="n">
        <v>5</v>
      </c>
      <c r="G33" s="12" t="s">
        <v>955</v>
      </c>
      <c r="H33" s="12" t="s">
        <v>975</v>
      </c>
      <c r="I33" s="12" t="n">
        <v>5.1</v>
      </c>
      <c r="J33" s="16" t="s">
        <v>2170</v>
      </c>
      <c r="K33" s="15" t="n">
        <v>40000</v>
      </c>
      <c r="L33" s="12" t="n">
        <v>1</v>
      </c>
      <c r="M33" s="12" t="n">
        <f aca="false">IF(COUNTIF(Products!$A:$A,B33)=0,"",IF(INDEX(Products!$G:$G,MATCH(B33,Products!$A:$A,0))="C7010","Hatch_Schedule: "&amp;COUNTIF(Hatch_Schedule!$B:$B,A33)&amp;" dates",COUNTIF(Store_Inventory!$C:$C,A33)))</f>
        <v>3</v>
      </c>
    </row>
    <row r="34" customFormat="false" ht="15" hidden="false" customHeight="false" outlineLevel="0" collapsed="false">
      <c r="A34" s="12" t="s">
        <v>2171</v>
      </c>
      <c r="B34" s="12" t="s">
        <v>1502</v>
      </c>
      <c r="C34" s="12" t="s">
        <v>1503</v>
      </c>
      <c r="D34" s="12" t="s">
        <v>2158</v>
      </c>
      <c r="E34" s="12" t="s">
        <v>2172</v>
      </c>
      <c r="F34" s="12" t="n">
        <v>1</v>
      </c>
      <c r="G34" s="12" t="s">
        <v>955</v>
      </c>
      <c r="H34" s="12" t="s">
        <v>989</v>
      </c>
      <c r="I34" s="12" t="n">
        <v>1.05</v>
      </c>
      <c r="J34" s="16" t="s">
        <v>2173</v>
      </c>
      <c r="K34" s="15" t="n">
        <v>8500</v>
      </c>
      <c r="L34" s="12" t="n">
        <v>1</v>
      </c>
      <c r="M34" s="12" t="n">
        <f aca="false">IF(COUNTIF(Products!$A:$A,B34)=0,"",IF(INDEX(Products!$G:$G,MATCH(B34,Products!$A:$A,0))="C7010","Hatch_Schedule: "&amp;COUNTIF(Hatch_Schedule!$B:$B,A34)&amp;" dates",COUNTIF(Store_Inventory!$C:$C,A34)))</f>
        <v>5</v>
      </c>
    </row>
    <row r="35" customFormat="false" ht="15" hidden="false" customHeight="false" outlineLevel="0" collapsed="false">
      <c r="A35" s="12" t="s">
        <v>2174</v>
      </c>
      <c r="B35" s="12" t="s">
        <v>1502</v>
      </c>
      <c r="C35" s="12" t="s">
        <v>1503</v>
      </c>
      <c r="D35" s="12" t="s">
        <v>2162</v>
      </c>
      <c r="E35" s="12" t="s">
        <v>2175</v>
      </c>
      <c r="F35" s="12" t="n">
        <v>5</v>
      </c>
      <c r="G35" s="12" t="s">
        <v>955</v>
      </c>
      <c r="H35" s="12" t="s">
        <v>975</v>
      </c>
      <c r="I35" s="12" t="n">
        <v>5.1</v>
      </c>
      <c r="J35" s="16" t="s">
        <v>2176</v>
      </c>
      <c r="K35" s="15" t="n">
        <v>40000</v>
      </c>
      <c r="L35" s="12" t="n">
        <v>1</v>
      </c>
      <c r="M35" s="12" t="n">
        <f aca="false">IF(COUNTIF(Products!$A:$A,B35)=0,"",IF(INDEX(Products!$G:$G,MATCH(B35,Products!$A:$A,0))="C7010","Hatch_Schedule: "&amp;COUNTIF(Hatch_Schedule!$B:$B,A35)&amp;" dates",COUNTIF(Store_Inventory!$C:$C,A35)))</f>
        <v>3</v>
      </c>
    </row>
    <row r="36" customFormat="false" ht="15" hidden="false" customHeight="false" outlineLevel="0" collapsed="false">
      <c r="A36" s="12" t="s">
        <v>2177</v>
      </c>
      <c r="B36" s="12" t="s">
        <v>1506</v>
      </c>
      <c r="C36" s="12" t="s">
        <v>1507</v>
      </c>
      <c r="D36" s="12" t="s">
        <v>2075</v>
      </c>
      <c r="E36" s="12" t="s">
        <v>2178</v>
      </c>
      <c r="F36" s="12" t="n">
        <v>50</v>
      </c>
      <c r="G36" s="12" t="s">
        <v>955</v>
      </c>
      <c r="H36" s="12" t="s">
        <v>975</v>
      </c>
      <c r="I36" s="12" t="n">
        <v>50.3</v>
      </c>
      <c r="J36" s="16" t="s">
        <v>2179</v>
      </c>
      <c r="K36" s="15" t="n">
        <v>18000</v>
      </c>
      <c r="L36" s="12" t="n">
        <v>1</v>
      </c>
      <c r="M36" s="12" t="n">
        <f aca="false">IF(COUNTIF(Products!$A:$A,B36)=0,"",IF(INDEX(Products!$G:$G,MATCH(B36,Products!$A:$A,0))="C7010","Hatch_Schedule: "&amp;COUNTIF(Hatch_Schedule!$B:$B,A36)&amp;" dates",COUNTIF(Store_Inventory!$C:$C,A36)))</f>
        <v>4</v>
      </c>
    </row>
    <row r="37" customFormat="false" ht="15" hidden="false" customHeight="false" outlineLevel="0" collapsed="false">
      <c r="A37" s="12" t="s">
        <v>2180</v>
      </c>
      <c r="B37" s="12" t="s">
        <v>1513</v>
      </c>
      <c r="C37" s="12" t="s">
        <v>1514</v>
      </c>
      <c r="D37" s="12" t="s">
        <v>2075</v>
      </c>
      <c r="E37" s="12" t="s">
        <v>2181</v>
      </c>
      <c r="F37" s="12" t="n">
        <v>50</v>
      </c>
      <c r="G37" s="12" t="s">
        <v>955</v>
      </c>
      <c r="H37" s="12" t="s">
        <v>975</v>
      </c>
      <c r="I37" s="12" t="n">
        <v>50.3</v>
      </c>
      <c r="J37" s="16" t="s">
        <v>2182</v>
      </c>
      <c r="K37" s="15" t="n">
        <v>38000</v>
      </c>
      <c r="L37" s="12" t="n">
        <v>1</v>
      </c>
      <c r="M37" s="12" t="n">
        <f aca="false">IF(COUNTIF(Products!$A:$A,B37)=0,"",IF(INDEX(Products!$G:$G,MATCH(B37,Products!$A:$A,0))="C7010","Hatch_Schedule: "&amp;COUNTIF(Hatch_Schedule!$B:$B,A37)&amp;" dates",COUNTIF(Store_Inventory!$C:$C,A37)))</f>
        <v>5</v>
      </c>
    </row>
    <row r="38" customFormat="false" ht="15" hidden="false" customHeight="false" outlineLevel="0" collapsed="false">
      <c r="A38" s="12" t="s">
        <v>2183</v>
      </c>
      <c r="B38" s="12" t="s">
        <v>1518</v>
      </c>
      <c r="C38" s="12" t="s">
        <v>1519</v>
      </c>
      <c r="D38" s="12" t="s">
        <v>2075</v>
      </c>
      <c r="E38" s="12" t="s">
        <v>2184</v>
      </c>
      <c r="F38" s="12" t="n">
        <v>50</v>
      </c>
      <c r="G38" s="12" t="s">
        <v>955</v>
      </c>
      <c r="H38" s="12" t="s">
        <v>975</v>
      </c>
      <c r="I38" s="12" t="n">
        <v>50.3</v>
      </c>
      <c r="J38" s="16" t="s">
        <v>2185</v>
      </c>
      <c r="K38" s="15" t="n">
        <v>105000</v>
      </c>
      <c r="L38" s="12" t="n">
        <v>1</v>
      </c>
      <c r="M38" s="12" t="n">
        <f aca="false">IF(COUNTIF(Products!$A:$A,B38)=0,"",IF(INDEX(Products!$G:$G,MATCH(B38,Products!$A:$A,0))="C7010","Hatch_Schedule: "&amp;COUNTIF(Hatch_Schedule!$B:$B,A38)&amp;" dates",COUNTIF(Store_Inventory!$C:$C,A38)))</f>
        <v>5</v>
      </c>
    </row>
    <row r="39" customFormat="false" ht="15" hidden="false" customHeight="false" outlineLevel="0" collapsed="false">
      <c r="A39" s="12" t="s">
        <v>2186</v>
      </c>
      <c r="B39" s="12" t="s">
        <v>1524</v>
      </c>
      <c r="C39" s="12" t="s">
        <v>1525</v>
      </c>
      <c r="D39" s="12" t="s">
        <v>2071</v>
      </c>
      <c r="E39" s="12" t="s">
        <v>2187</v>
      </c>
      <c r="F39" s="12" t="n">
        <v>25</v>
      </c>
      <c r="G39" s="12" t="s">
        <v>955</v>
      </c>
      <c r="H39" s="12" t="s">
        <v>975</v>
      </c>
      <c r="I39" s="12" t="n">
        <v>25.2</v>
      </c>
      <c r="J39" s="16" t="s">
        <v>2188</v>
      </c>
      <c r="K39" s="15" t="n">
        <v>62000</v>
      </c>
      <c r="L39" s="12" t="n">
        <v>1</v>
      </c>
      <c r="M39" s="12" t="n">
        <f aca="false">IF(COUNTIF(Products!$A:$A,B39)=0,"",IF(INDEX(Products!$G:$G,MATCH(B39,Products!$A:$A,0))="C7010","Hatch_Schedule: "&amp;COUNTIF(Hatch_Schedule!$B:$B,A39)&amp;" dates",COUNTIF(Store_Inventory!$C:$C,A39)))</f>
        <v>5</v>
      </c>
    </row>
    <row r="40" customFormat="false" ht="15" hidden="false" customHeight="false" outlineLevel="0" collapsed="false">
      <c r="A40" s="12" t="s">
        <v>2189</v>
      </c>
      <c r="B40" s="12" t="s">
        <v>1524</v>
      </c>
      <c r="C40" s="12" t="s">
        <v>1525</v>
      </c>
      <c r="D40" s="12" t="s">
        <v>2075</v>
      </c>
      <c r="E40" s="12" t="s">
        <v>2190</v>
      </c>
      <c r="F40" s="12" t="n">
        <v>50</v>
      </c>
      <c r="G40" s="12" t="s">
        <v>955</v>
      </c>
      <c r="H40" s="12" t="s">
        <v>975</v>
      </c>
      <c r="I40" s="12" t="n">
        <v>50.3</v>
      </c>
      <c r="J40" s="16" t="s">
        <v>2191</v>
      </c>
      <c r="K40" s="15" t="n">
        <v>120000</v>
      </c>
      <c r="L40" s="12" t="n">
        <v>1</v>
      </c>
      <c r="M40" s="12" t="n">
        <f aca="false">IF(COUNTIF(Products!$A:$A,B40)=0,"",IF(INDEX(Products!$G:$G,MATCH(B40,Products!$A:$A,0))="C7010","Hatch_Schedule: "&amp;COUNTIF(Hatch_Schedule!$B:$B,A40)&amp;" dates",COUNTIF(Store_Inventory!$C:$C,A40)))</f>
        <v>5</v>
      </c>
    </row>
    <row r="41" customFormat="false" ht="15" hidden="false" customHeight="false" outlineLevel="0" collapsed="false">
      <c r="A41" s="12" t="s">
        <v>2192</v>
      </c>
      <c r="B41" s="12" t="s">
        <v>1530</v>
      </c>
      <c r="C41" s="12" t="s">
        <v>1531</v>
      </c>
      <c r="D41" s="12" t="s">
        <v>2075</v>
      </c>
      <c r="E41" s="12" t="s">
        <v>2193</v>
      </c>
      <c r="F41" s="12" t="n">
        <v>50</v>
      </c>
      <c r="G41" s="12" t="s">
        <v>955</v>
      </c>
      <c r="H41" s="12" t="s">
        <v>975</v>
      </c>
      <c r="I41" s="12" t="n">
        <v>50.3</v>
      </c>
      <c r="J41" s="16" t="s">
        <v>2194</v>
      </c>
      <c r="K41" s="15" t="n">
        <v>15000</v>
      </c>
      <c r="L41" s="12" t="n">
        <v>1</v>
      </c>
      <c r="M41" s="12" t="n">
        <f aca="false">IF(COUNTIF(Products!$A:$A,B41)=0,"",IF(INDEX(Products!$G:$G,MATCH(B41,Products!$A:$A,0))="C7010","Hatch_Schedule: "&amp;COUNTIF(Hatch_Schedule!$B:$B,A41)&amp;" dates",COUNTIF(Store_Inventory!$C:$C,A41)))</f>
        <v>5</v>
      </c>
    </row>
    <row r="42" customFormat="false" ht="15" hidden="false" customHeight="false" outlineLevel="0" collapsed="false">
      <c r="A42" s="12" t="s">
        <v>2195</v>
      </c>
      <c r="B42" s="12" t="s">
        <v>1536</v>
      </c>
      <c r="C42" s="12" t="s">
        <v>1537</v>
      </c>
      <c r="D42" s="12" t="s">
        <v>2071</v>
      </c>
      <c r="E42" s="12" t="s">
        <v>2196</v>
      </c>
      <c r="F42" s="12" t="n">
        <v>25</v>
      </c>
      <c r="G42" s="12" t="s">
        <v>955</v>
      </c>
      <c r="H42" s="12" t="s">
        <v>975</v>
      </c>
      <c r="I42" s="12" t="n">
        <v>25.2</v>
      </c>
      <c r="J42" s="16" t="s">
        <v>2197</v>
      </c>
      <c r="K42" s="15" t="n">
        <v>75000</v>
      </c>
      <c r="L42" s="12" t="n">
        <v>1</v>
      </c>
      <c r="M42" s="12" t="n">
        <f aca="false">IF(COUNTIF(Products!$A:$A,B42)=0,"",IF(INDEX(Products!$G:$G,MATCH(B42,Products!$A:$A,0))="C7010","Hatch_Schedule: "&amp;COUNTIF(Hatch_Schedule!$B:$B,A42)&amp;" dates",COUNTIF(Store_Inventory!$C:$C,A42)))</f>
        <v>3</v>
      </c>
    </row>
    <row r="43" customFormat="false" ht="15" hidden="false" customHeight="false" outlineLevel="0" collapsed="false">
      <c r="A43" s="12" t="s">
        <v>2198</v>
      </c>
      <c r="B43" s="12" t="s">
        <v>1542</v>
      </c>
      <c r="C43" s="12" t="s">
        <v>1543</v>
      </c>
      <c r="D43" s="12" t="s">
        <v>2075</v>
      </c>
      <c r="E43" s="12" t="s">
        <v>2199</v>
      </c>
      <c r="F43" s="12" t="n">
        <v>50</v>
      </c>
      <c r="G43" s="12" t="s">
        <v>955</v>
      </c>
      <c r="H43" s="12" t="s">
        <v>975</v>
      </c>
      <c r="I43" s="12" t="n">
        <v>50.3</v>
      </c>
      <c r="J43" s="16" t="s">
        <v>2200</v>
      </c>
      <c r="K43" s="15" t="n">
        <v>40000</v>
      </c>
      <c r="L43" s="12" t="n">
        <v>1</v>
      </c>
      <c r="M43" s="12" t="n">
        <f aca="false">IF(COUNTIF(Products!$A:$A,B43)=0,"",IF(INDEX(Products!$G:$G,MATCH(B43,Products!$A:$A,0))="C7010","Hatch_Schedule: "&amp;COUNTIF(Hatch_Schedule!$B:$B,A43)&amp;" dates",COUNTIF(Store_Inventory!$C:$C,A43)))</f>
        <v>5</v>
      </c>
    </row>
    <row r="44" customFormat="false" ht="15" hidden="false" customHeight="false" outlineLevel="0" collapsed="false">
      <c r="A44" s="12" t="s">
        <v>2201</v>
      </c>
      <c r="B44" s="12" t="s">
        <v>1547</v>
      </c>
      <c r="C44" s="12" t="s">
        <v>1548</v>
      </c>
      <c r="D44" s="12" t="s">
        <v>2202</v>
      </c>
      <c r="E44" s="12" t="s">
        <v>2203</v>
      </c>
      <c r="F44" s="12" t="n">
        <v>15</v>
      </c>
      <c r="G44" s="12" t="s">
        <v>955</v>
      </c>
      <c r="H44" s="12" t="s">
        <v>990</v>
      </c>
      <c r="I44" s="12" t="n">
        <v>15</v>
      </c>
      <c r="J44" s="16" t="s">
        <v>2204</v>
      </c>
      <c r="K44" s="15" t="n">
        <v>8000</v>
      </c>
      <c r="L44" s="12" t="n">
        <v>1</v>
      </c>
      <c r="M44" s="12" t="n">
        <f aca="false">IF(COUNTIF(Products!$A:$A,B44)=0,"",IF(INDEX(Products!$G:$G,MATCH(B44,Products!$A:$A,0))="C7010","Hatch_Schedule: "&amp;COUNTIF(Hatch_Schedule!$B:$B,A44)&amp;" dates",COUNTIF(Store_Inventory!$C:$C,A44)))</f>
        <v>2</v>
      </c>
    </row>
    <row r="45" customFormat="false" ht="15" hidden="false" customHeight="false" outlineLevel="0" collapsed="false">
      <c r="A45" s="12" t="s">
        <v>2205</v>
      </c>
      <c r="B45" s="12" t="s">
        <v>1555</v>
      </c>
      <c r="C45" s="12" t="s">
        <v>1556</v>
      </c>
      <c r="D45" s="12" t="s">
        <v>2075</v>
      </c>
      <c r="E45" s="12" t="s">
        <v>2206</v>
      </c>
      <c r="F45" s="12" t="n">
        <v>50</v>
      </c>
      <c r="G45" s="12" t="s">
        <v>955</v>
      </c>
      <c r="H45" s="12" t="s">
        <v>975</v>
      </c>
      <c r="I45" s="12" t="n">
        <v>50</v>
      </c>
      <c r="J45" s="16" t="s">
        <v>2207</v>
      </c>
      <c r="K45" s="15" t="n">
        <v>12000</v>
      </c>
      <c r="L45" s="12" t="n">
        <v>1</v>
      </c>
      <c r="M45" s="12" t="n">
        <f aca="false">IF(COUNTIF(Products!$A:$A,B45)=0,"",IF(INDEX(Products!$G:$G,MATCH(B45,Products!$A:$A,0))="C7010","Hatch_Schedule: "&amp;COUNTIF(Hatch_Schedule!$B:$B,A45)&amp;" dates",COUNTIF(Store_Inventory!$C:$C,A45)))</f>
        <v>3</v>
      </c>
    </row>
    <row r="46" customFormat="false" ht="15" hidden="false" customHeight="false" outlineLevel="0" collapsed="false">
      <c r="A46" s="12" t="s">
        <v>2208</v>
      </c>
      <c r="B46" s="12" t="s">
        <v>1561</v>
      </c>
      <c r="C46" s="12" t="s">
        <v>1562</v>
      </c>
      <c r="D46" s="12" t="s">
        <v>2209</v>
      </c>
      <c r="E46" s="12" t="s">
        <v>2210</v>
      </c>
      <c r="F46" s="12" t="n">
        <v>30</v>
      </c>
      <c r="G46" s="12" t="s">
        <v>952</v>
      </c>
      <c r="H46" s="12" t="s">
        <v>977</v>
      </c>
      <c r="I46" s="12" t="n">
        <v>0.04</v>
      </c>
      <c r="J46" s="16" t="s">
        <v>2211</v>
      </c>
      <c r="K46" s="15" t="n">
        <v>1500</v>
      </c>
      <c r="L46" s="12" t="n">
        <v>1</v>
      </c>
      <c r="M46" s="12" t="n">
        <f aca="false">IF(COUNTIF(Products!$A:$A,B46)=0,"",IF(INDEX(Products!$G:$G,MATCH(B46,Products!$A:$A,0))="C7010","Hatch_Schedule: "&amp;COUNTIF(Hatch_Schedule!$B:$B,A46)&amp;" dates",COUNTIF(Store_Inventory!$C:$C,A46)))</f>
        <v>6</v>
      </c>
    </row>
    <row r="47" customFormat="false" ht="15" hidden="false" customHeight="false" outlineLevel="0" collapsed="false">
      <c r="A47" s="12" t="s">
        <v>2212</v>
      </c>
      <c r="B47" s="12" t="s">
        <v>1561</v>
      </c>
      <c r="C47" s="12" t="s">
        <v>1562</v>
      </c>
      <c r="D47" s="12" t="s">
        <v>2213</v>
      </c>
      <c r="E47" s="12" t="s">
        <v>2214</v>
      </c>
      <c r="F47" s="12" t="n">
        <v>100</v>
      </c>
      <c r="G47" s="12" t="s">
        <v>952</v>
      </c>
      <c r="H47" s="12" t="s">
        <v>977</v>
      </c>
      <c r="I47" s="12" t="n">
        <v>0.12</v>
      </c>
      <c r="J47" s="16" t="s">
        <v>2215</v>
      </c>
      <c r="K47" s="15" t="n">
        <v>4000</v>
      </c>
      <c r="L47" s="12" t="n">
        <v>1</v>
      </c>
      <c r="M47" s="12" t="n">
        <f aca="false">IF(COUNTIF(Products!$A:$A,B47)=0,"",IF(INDEX(Products!$G:$G,MATCH(B47,Products!$A:$A,0))="C7010","Hatch_Schedule: "&amp;COUNTIF(Hatch_Schedule!$B:$B,A47)&amp;" dates",COUNTIF(Store_Inventory!$C:$C,A47)))</f>
        <v>5</v>
      </c>
    </row>
    <row r="48" customFormat="false" ht="15" hidden="false" customHeight="false" outlineLevel="0" collapsed="false">
      <c r="A48" s="12" t="s">
        <v>2216</v>
      </c>
      <c r="B48" s="12" t="s">
        <v>1561</v>
      </c>
      <c r="C48" s="12" t="s">
        <v>1562</v>
      </c>
      <c r="D48" s="12" t="s">
        <v>2217</v>
      </c>
      <c r="E48" s="12" t="s">
        <v>2218</v>
      </c>
      <c r="F48" s="12" t="n">
        <v>250</v>
      </c>
      <c r="G48" s="12" t="s">
        <v>952</v>
      </c>
      <c r="H48" s="12" t="s">
        <v>977</v>
      </c>
      <c r="I48" s="12" t="n">
        <v>0.28</v>
      </c>
      <c r="J48" s="16" t="s">
        <v>2219</v>
      </c>
      <c r="K48" s="15" t="n">
        <v>9000</v>
      </c>
      <c r="L48" s="12" t="n">
        <v>1</v>
      </c>
      <c r="M48" s="12" t="n">
        <f aca="false">IF(COUNTIF(Products!$A:$A,B48)=0,"",IF(INDEX(Products!$G:$G,MATCH(B48,Products!$A:$A,0))="C7010","Hatch_Schedule: "&amp;COUNTIF(Hatch_Schedule!$B:$B,A48)&amp;" dates",COUNTIF(Store_Inventory!$C:$C,A48)))</f>
        <v>6</v>
      </c>
    </row>
    <row r="49" customFormat="false" ht="15" hidden="false" customHeight="false" outlineLevel="0" collapsed="false">
      <c r="A49" s="12" t="s">
        <v>2220</v>
      </c>
      <c r="B49" s="12" t="s">
        <v>1572</v>
      </c>
      <c r="C49" s="12" t="s">
        <v>1573</v>
      </c>
      <c r="D49" s="12" t="s">
        <v>2209</v>
      </c>
      <c r="E49" s="12" t="s">
        <v>2221</v>
      </c>
      <c r="F49" s="12" t="n">
        <v>30</v>
      </c>
      <c r="G49" s="12" t="s">
        <v>952</v>
      </c>
      <c r="H49" s="12" t="s">
        <v>977</v>
      </c>
      <c r="I49" s="12" t="n">
        <v>0.04</v>
      </c>
      <c r="J49" s="16" t="s">
        <v>2222</v>
      </c>
      <c r="K49" s="15" t="n">
        <v>1500</v>
      </c>
      <c r="L49" s="12" t="n">
        <v>1</v>
      </c>
      <c r="M49" s="12" t="n">
        <f aca="false">IF(COUNTIF(Products!$A:$A,B49)=0,"",IF(INDEX(Products!$G:$G,MATCH(B49,Products!$A:$A,0))="C7010","Hatch_Schedule: "&amp;COUNTIF(Hatch_Schedule!$B:$B,A49)&amp;" dates",COUNTIF(Store_Inventory!$C:$C,A49)))</f>
        <v>4</v>
      </c>
    </row>
    <row r="50" customFormat="false" ht="15" hidden="false" customHeight="false" outlineLevel="0" collapsed="false">
      <c r="A50" s="12" t="s">
        <v>2223</v>
      </c>
      <c r="B50" s="12" t="s">
        <v>1572</v>
      </c>
      <c r="C50" s="12" t="s">
        <v>1573</v>
      </c>
      <c r="D50" s="12" t="s">
        <v>2213</v>
      </c>
      <c r="E50" s="12" t="s">
        <v>2224</v>
      </c>
      <c r="F50" s="12" t="n">
        <v>100</v>
      </c>
      <c r="G50" s="12" t="s">
        <v>952</v>
      </c>
      <c r="H50" s="12" t="s">
        <v>977</v>
      </c>
      <c r="I50" s="12" t="n">
        <v>0.12</v>
      </c>
      <c r="J50" s="16" t="s">
        <v>2225</v>
      </c>
      <c r="K50" s="15" t="n">
        <v>4500</v>
      </c>
      <c r="L50" s="12" t="n">
        <v>1</v>
      </c>
      <c r="M50" s="12" t="n">
        <f aca="false">IF(COUNTIF(Products!$A:$A,B50)=0,"",IF(INDEX(Products!$G:$G,MATCH(B50,Products!$A:$A,0))="C7010","Hatch_Schedule: "&amp;COUNTIF(Hatch_Schedule!$B:$B,A50)&amp;" dates",COUNTIF(Store_Inventory!$C:$C,A50)))</f>
        <v>6</v>
      </c>
    </row>
    <row r="51" customFormat="false" ht="15" hidden="false" customHeight="false" outlineLevel="0" collapsed="false">
      <c r="A51" s="12" t="s">
        <v>2226</v>
      </c>
      <c r="B51" s="12" t="s">
        <v>1572</v>
      </c>
      <c r="C51" s="12" t="s">
        <v>1573</v>
      </c>
      <c r="D51" s="12" t="s">
        <v>2217</v>
      </c>
      <c r="E51" s="12" t="s">
        <v>2227</v>
      </c>
      <c r="F51" s="12" t="n">
        <v>250</v>
      </c>
      <c r="G51" s="12" t="s">
        <v>952</v>
      </c>
      <c r="H51" s="12" t="s">
        <v>977</v>
      </c>
      <c r="I51" s="12" t="n">
        <v>0.28</v>
      </c>
      <c r="J51" s="16" t="s">
        <v>2228</v>
      </c>
      <c r="K51" s="15" t="n">
        <v>10000</v>
      </c>
      <c r="L51" s="12" t="n">
        <v>1</v>
      </c>
      <c r="M51" s="12" t="n">
        <f aca="false">IF(COUNTIF(Products!$A:$A,B51)=0,"",IF(INDEX(Products!$G:$G,MATCH(B51,Products!$A:$A,0))="C7010","Hatch_Schedule: "&amp;COUNTIF(Hatch_Schedule!$B:$B,A51)&amp;" dates",COUNTIF(Store_Inventory!$C:$C,A51)))</f>
        <v>4</v>
      </c>
    </row>
    <row r="52" customFormat="false" ht="15" hidden="false" customHeight="false" outlineLevel="0" collapsed="false">
      <c r="A52" s="12" t="s">
        <v>2229</v>
      </c>
      <c r="B52" s="12" t="s">
        <v>1579</v>
      </c>
      <c r="C52" s="12" t="s">
        <v>1580</v>
      </c>
      <c r="D52" s="12" t="s">
        <v>2213</v>
      </c>
      <c r="E52" s="12" t="s">
        <v>2230</v>
      </c>
      <c r="F52" s="12" t="n">
        <v>100</v>
      </c>
      <c r="G52" s="12" t="s">
        <v>952</v>
      </c>
      <c r="H52" s="12" t="s">
        <v>977</v>
      </c>
      <c r="I52" s="12" t="n">
        <v>0.12</v>
      </c>
      <c r="J52" s="16" t="s">
        <v>2231</v>
      </c>
      <c r="K52" s="15" t="n">
        <v>4000</v>
      </c>
      <c r="L52" s="12" t="n">
        <v>1</v>
      </c>
      <c r="M52" s="12" t="n">
        <f aca="false">IF(COUNTIF(Products!$A:$A,B52)=0,"",IF(INDEX(Products!$G:$G,MATCH(B52,Products!$A:$A,0))="C7010","Hatch_Schedule: "&amp;COUNTIF(Hatch_Schedule!$B:$B,A52)&amp;" dates",COUNTIF(Store_Inventory!$C:$C,A52)))</f>
        <v>5</v>
      </c>
    </row>
    <row r="53" customFormat="false" ht="15" hidden="false" customHeight="false" outlineLevel="0" collapsed="false">
      <c r="A53" s="12" t="s">
        <v>2232</v>
      </c>
      <c r="B53" s="12" t="s">
        <v>1579</v>
      </c>
      <c r="C53" s="12" t="s">
        <v>1580</v>
      </c>
      <c r="D53" s="12" t="s">
        <v>2233</v>
      </c>
      <c r="E53" s="12" t="s">
        <v>2234</v>
      </c>
      <c r="F53" s="12" t="n">
        <v>1</v>
      </c>
      <c r="G53" s="12" t="s">
        <v>955</v>
      </c>
      <c r="H53" s="12" t="s">
        <v>983</v>
      </c>
      <c r="I53" s="12" t="n">
        <v>1.1</v>
      </c>
      <c r="J53" s="16" t="s">
        <v>2235</v>
      </c>
      <c r="K53" s="15" t="n">
        <v>30000</v>
      </c>
      <c r="L53" s="12" t="n">
        <v>1</v>
      </c>
      <c r="M53" s="12" t="n">
        <f aca="false">IF(COUNTIF(Products!$A:$A,B53)=0,"",IF(INDEX(Products!$G:$G,MATCH(B53,Products!$A:$A,0))="C7010","Hatch_Schedule: "&amp;COUNTIF(Hatch_Schedule!$B:$B,A53)&amp;" dates",COUNTIF(Store_Inventory!$C:$C,A53)))</f>
        <v>6</v>
      </c>
    </row>
    <row r="54" customFormat="false" ht="15" hidden="false" customHeight="false" outlineLevel="0" collapsed="false">
      <c r="A54" s="12" t="s">
        <v>2236</v>
      </c>
      <c r="B54" s="12" t="s">
        <v>1588</v>
      </c>
      <c r="C54" s="12" t="s">
        <v>1589</v>
      </c>
      <c r="D54" s="12" t="s">
        <v>2237</v>
      </c>
      <c r="E54" s="12" t="s">
        <v>2238</v>
      </c>
      <c r="F54" s="12" t="n">
        <v>100</v>
      </c>
      <c r="G54" s="12" t="s">
        <v>958</v>
      </c>
      <c r="H54" s="12" t="s">
        <v>979</v>
      </c>
      <c r="I54" s="12" t="n">
        <v>0.2</v>
      </c>
      <c r="J54" s="16" t="s">
        <v>2239</v>
      </c>
      <c r="K54" s="15" t="n">
        <v>12000</v>
      </c>
      <c r="L54" s="12" t="n">
        <v>1</v>
      </c>
      <c r="M54" s="12" t="n">
        <f aca="false">IF(COUNTIF(Products!$A:$A,B54)=0,"",IF(INDEX(Products!$G:$G,MATCH(B54,Products!$A:$A,0))="C7010","Hatch_Schedule: "&amp;COUNTIF(Hatch_Schedule!$B:$B,A54)&amp;" dates",COUNTIF(Store_Inventory!$C:$C,A54)))</f>
        <v>4</v>
      </c>
    </row>
    <row r="55" customFormat="false" ht="15" hidden="false" customHeight="false" outlineLevel="0" collapsed="false">
      <c r="A55" s="12" t="s">
        <v>2240</v>
      </c>
      <c r="B55" s="12" t="s">
        <v>1595</v>
      </c>
      <c r="C55" s="12" t="s">
        <v>1596</v>
      </c>
      <c r="D55" s="12" t="s">
        <v>2241</v>
      </c>
      <c r="E55" s="12" t="s">
        <v>2242</v>
      </c>
      <c r="F55" s="12" t="n">
        <v>500</v>
      </c>
      <c r="G55" s="12" t="s">
        <v>958</v>
      </c>
      <c r="H55" s="12" t="s">
        <v>979</v>
      </c>
      <c r="I55" s="12" t="n">
        <v>0.6</v>
      </c>
      <c r="J55" s="16" t="s">
        <v>2243</v>
      </c>
      <c r="K55" s="15" t="n">
        <v>15000</v>
      </c>
      <c r="L55" s="12" t="n">
        <v>1</v>
      </c>
      <c r="M55" s="12" t="n">
        <f aca="false">IF(COUNTIF(Products!$A:$A,B55)=0,"",IF(INDEX(Products!$G:$G,MATCH(B55,Products!$A:$A,0))="C7010","Hatch_Schedule: "&amp;COUNTIF(Hatch_Schedule!$B:$B,A55)&amp;" dates",COUNTIF(Store_Inventory!$C:$C,A55)))</f>
        <v>6</v>
      </c>
    </row>
    <row r="56" customFormat="false" ht="15" hidden="false" customHeight="false" outlineLevel="0" collapsed="false">
      <c r="A56" s="12" t="s">
        <v>2244</v>
      </c>
      <c r="B56" s="12" t="s">
        <v>1595</v>
      </c>
      <c r="C56" s="12" t="s">
        <v>1596</v>
      </c>
      <c r="D56" s="12" t="s">
        <v>2245</v>
      </c>
      <c r="E56" s="12" t="s">
        <v>2246</v>
      </c>
      <c r="F56" s="12" t="n">
        <v>1</v>
      </c>
      <c r="G56" s="12" t="s">
        <v>961</v>
      </c>
      <c r="H56" s="12" t="s">
        <v>979</v>
      </c>
      <c r="I56" s="12" t="n">
        <v>1.1</v>
      </c>
      <c r="J56" s="16" t="s">
        <v>2247</v>
      </c>
      <c r="K56" s="15" t="n">
        <v>28000</v>
      </c>
      <c r="L56" s="12" t="n">
        <v>1</v>
      </c>
      <c r="M56" s="12" t="n">
        <f aca="false">IF(COUNTIF(Products!$A:$A,B56)=0,"",IF(INDEX(Products!$G:$G,MATCH(B56,Products!$A:$A,0))="C7010","Hatch_Schedule: "&amp;COUNTIF(Hatch_Schedule!$B:$B,A56)&amp;" dates",COUNTIF(Store_Inventory!$C:$C,A56)))</f>
        <v>5</v>
      </c>
    </row>
    <row r="57" customFormat="false" ht="15" hidden="false" customHeight="false" outlineLevel="0" collapsed="false">
      <c r="A57" s="12" t="s">
        <v>2248</v>
      </c>
      <c r="B57" s="12" t="s">
        <v>1602</v>
      </c>
      <c r="C57" s="12" t="s">
        <v>1603</v>
      </c>
      <c r="D57" s="12" t="s">
        <v>2209</v>
      </c>
      <c r="E57" s="12" t="s">
        <v>2249</v>
      </c>
      <c r="F57" s="12" t="n">
        <v>30</v>
      </c>
      <c r="G57" s="12" t="s">
        <v>952</v>
      </c>
      <c r="H57" s="12" t="s">
        <v>977</v>
      </c>
      <c r="I57" s="12" t="n">
        <v>0.04</v>
      </c>
      <c r="J57" s="16" t="s">
        <v>2250</v>
      </c>
      <c r="K57" s="15" t="n">
        <v>1200</v>
      </c>
      <c r="L57" s="12" t="n">
        <v>1</v>
      </c>
      <c r="M57" s="12" t="n">
        <f aca="false">IF(COUNTIF(Products!$A:$A,B57)=0,"",IF(INDEX(Products!$G:$G,MATCH(B57,Products!$A:$A,0))="C7010","Hatch_Schedule: "&amp;COUNTIF(Hatch_Schedule!$B:$B,A57)&amp;" dates",COUNTIF(Store_Inventory!$C:$C,A57)))</f>
        <v>5</v>
      </c>
    </row>
    <row r="58" customFormat="false" ht="15" hidden="false" customHeight="false" outlineLevel="0" collapsed="false">
      <c r="A58" s="12" t="s">
        <v>2251</v>
      </c>
      <c r="B58" s="12" t="s">
        <v>1602</v>
      </c>
      <c r="C58" s="12" t="s">
        <v>1603</v>
      </c>
      <c r="D58" s="12" t="s">
        <v>2213</v>
      </c>
      <c r="E58" s="12" t="s">
        <v>2252</v>
      </c>
      <c r="F58" s="12" t="n">
        <v>100</v>
      </c>
      <c r="G58" s="12" t="s">
        <v>952</v>
      </c>
      <c r="H58" s="12" t="s">
        <v>977</v>
      </c>
      <c r="I58" s="12" t="n">
        <v>0.12</v>
      </c>
      <c r="J58" s="16" t="s">
        <v>2253</v>
      </c>
      <c r="K58" s="15" t="n">
        <v>3500</v>
      </c>
      <c r="L58" s="12" t="n">
        <v>1</v>
      </c>
      <c r="M58" s="12" t="n">
        <f aca="false">IF(COUNTIF(Products!$A:$A,B58)=0,"",IF(INDEX(Products!$G:$G,MATCH(B58,Products!$A:$A,0))="C7010","Hatch_Schedule: "&amp;COUNTIF(Hatch_Schedule!$B:$B,A58)&amp;" dates",COUNTIF(Store_Inventory!$C:$C,A58)))</f>
        <v>6</v>
      </c>
    </row>
    <row r="59" customFormat="false" ht="15" hidden="false" customHeight="false" outlineLevel="0" collapsed="false">
      <c r="A59" s="12" t="s">
        <v>2254</v>
      </c>
      <c r="B59" s="12" t="s">
        <v>1602</v>
      </c>
      <c r="C59" s="12" t="s">
        <v>1603</v>
      </c>
      <c r="D59" s="12" t="s">
        <v>2217</v>
      </c>
      <c r="E59" s="12" t="s">
        <v>2255</v>
      </c>
      <c r="F59" s="12" t="n">
        <v>250</v>
      </c>
      <c r="G59" s="12" t="s">
        <v>952</v>
      </c>
      <c r="H59" s="12" t="s">
        <v>977</v>
      </c>
      <c r="I59" s="12" t="n">
        <v>0.28</v>
      </c>
      <c r="J59" s="16" t="s">
        <v>2256</v>
      </c>
      <c r="K59" s="15" t="n">
        <v>8000</v>
      </c>
      <c r="L59" s="12" t="n">
        <v>1</v>
      </c>
      <c r="M59" s="12" t="n">
        <f aca="false">IF(COUNTIF(Products!$A:$A,B59)=0,"",IF(INDEX(Products!$G:$G,MATCH(B59,Products!$A:$A,0))="C7010","Hatch_Schedule: "&amp;COUNTIF(Hatch_Schedule!$B:$B,A59)&amp;" dates",COUNTIF(Store_Inventory!$C:$C,A59)))</f>
        <v>6</v>
      </c>
    </row>
    <row r="60" customFormat="false" ht="15" hidden="false" customHeight="false" outlineLevel="0" collapsed="false">
      <c r="A60" s="12" t="s">
        <v>2257</v>
      </c>
      <c r="B60" s="12" t="s">
        <v>1610</v>
      </c>
      <c r="C60" s="12" t="s">
        <v>1611</v>
      </c>
      <c r="D60" s="12" t="s">
        <v>2213</v>
      </c>
      <c r="E60" s="12" t="s">
        <v>2258</v>
      </c>
      <c r="F60" s="12" t="n">
        <v>100</v>
      </c>
      <c r="G60" s="12" t="s">
        <v>952</v>
      </c>
      <c r="H60" s="12" t="s">
        <v>977</v>
      </c>
      <c r="I60" s="12" t="n">
        <v>0.12</v>
      </c>
      <c r="J60" s="16" t="s">
        <v>2259</v>
      </c>
      <c r="K60" s="15" t="n">
        <v>3000</v>
      </c>
      <c r="L60" s="12" t="n">
        <v>1</v>
      </c>
      <c r="M60" s="12" t="n">
        <f aca="false">IF(COUNTIF(Products!$A:$A,B60)=0,"",IF(INDEX(Products!$G:$G,MATCH(B60,Products!$A:$A,0))="C7010","Hatch_Schedule: "&amp;COUNTIF(Hatch_Schedule!$B:$B,A60)&amp;" dates",COUNTIF(Store_Inventory!$C:$C,A60)))</f>
        <v>4</v>
      </c>
    </row>
    <row r="61" customFormat="false" ht="15" hidden="false" customHeight="false" outlineLevel="0" collapsed="false">
      <c r="A61" s="12" t="s">
        <v>2260</v>
      </c>
      <c r="B61" s="12" t="s">
        <v>1619</v>
      </c>
      <c r="C61" s="12" t="s">
        <v>1620</v>
      </c>
      <c r="D61" s="12" t="s">
        <v>2261</v>
      </c>
      <c r="E61" s="12" t="s">
        <v>2262</v>
      </c>
      <c r="F61" s="12" t="n">
        <v>2</v>
      </c>
      <c r="G61" s="12" t="s">
        <v>955</v>
      </c>
      <c r="H61" s="12" t="s">
        <v>985</v>
      </c>
      <c r="I61" s="12" t="n">
        <v>2.1</v>
      </c>
      <c r="J61" s="16" t="s">
        <v>2263</v>
      </c>
      <c r="K61" s="15" t="n">
        <v>7000</v>
      </c>
      <c r="L61" s="12" t="n">
        <v>1</v>
      </c>
      <c r="M61" s="12" t="n">
        <f aca="false">IF(COUNTIF(Products!$A:$A,B61)=0,"",IF(INDEX(Products!$G:$G,MATCH(B61,Products!$A:$A,0))="C7010","Hatch_Schedule: "&amp;COUNTIF(Hatch_Schedule!$B:$B,A61)&amp;" dates",COUNTIF(Store_Inventory!$C:$C,A61)))</f>
        <v>6</v>
      </c>
    </row>
    <row r="62" customFormat="false" ht="15" hidden="false" customHeight="false" outlineLevel="0" collapsed="false">
      <c r="A62" s="12" t="s">
        <v>2264</v>
      </c>
      <c r="B62" s="12" t="s">
        <v>1626</v>
      </c>
      <c r="C62" s="12" t="s">
        <v>1627</v>
      </c>
      <c r="D62" s="12" t="s">
        <v>2265</v>
      </c>
      <c r="E62" s="12" t="s">
        <v>2266</v>
      </c>
      <c r="F62" s="12" t="n">
        <v>5</v>
      </c>
      <c r="G62" s="12" t="s">
        <v>955</v>
      </c>
      <c r="H62" s="12" t="s">
        <v>985</v>
      </c>
      <c r="I62" s="12" t="n">
        <v>5.1</v>
      </c>
      <c r="J62" s="16" t="s">
        <v>2267</v>
      </c>
      <c r="K62" s="15" t="n">
        <v>15000</v>
      </c>
      <c r="L62" s="12" t="n">
        <v>1</v>
      </c>
      <c r="M62" s="12" t="n">
        <f aca="false">IF(COUNTIF(Products!$A:$A,B62)=0,"",IF(INDEX(Products!$G:$G,MATCH(B62,Products!$A:$A,0))="C7010","Hatch_Schedule: "&amp;COUNTIF(Hatch_Schedule!$B:$B,A62)&amp;" dates",COUNTIF(Store_Inventory!$C:$C,A62)))</f>
        <v>5</v>
      </c>
    </row>
    <row r="63" customFormat="false" ht="15" hidden="false" customHeight="false" outlineLevel="0" collapsed="false">
      <c r="A63" s="12" t="s">
        <v>2268</v>
      </c>
      <c r="B63" s="12" t="s">
        <v>1632</v>
      </c>
      <c r="C63" s="12" t="s">
        <v>1633</v>
      </c>
      <c r="D63" s="12" t="s">
        <v>2269</v>
      </c>
      <c r="E63" s="12" t="s">
        <v>2270</v>
      </c>
      <c r="F63" s="12" t="n">
        <v>2</v>
      </c>
      <c r="G63" s="12" t="s">
        <v>955</v>
      </c>
      <c r="H63" s="12" t="s">
        <v>989</v>
      </c>
      <c r="I63" s="12" t="n">
        <v>2.1</v>
      </c>
      <c r="J63" s="16" t="s">
        <v>2271</v>
      </c>
      <c r="K63" s="15" t="n">
        <v>12000</v>
      </c>
      <c r="L63" s="12" t="n">
        <v>1</v>
      </c>
      <c r="M63" s="12" t="n">
        <f aca="false">IF(COUNTIF(Products!$A:$A,B63)=0,"",IF(INDEX(Products!$G:$G,MATCH(B63,Products!$A:$A,0))="C7010","Hatch_Schedule: "&amp;COUNTIF(Hatch_Schedule!$B:$B,A63)&amp;" dates",COUNTIF(Store_Inventory!$C:$C,A63)))</f>
        <v>5</v>
      </c>
    </row>
    <row r="64" customFormat="false" ht="15" hidden="false" customHeight="false" outlineLevel="0" collapsed="false">
      <c r="A64" s="12" t="s">
        <v>2272</v>
      </c>
      <c r="B64" s="12" t="s">
        <v>1632</v>
      </c>
      <c r="C64" s="12" t="s">
        <v>1633</v>
      </c>
      <c r="D64" s="12" t="s">
        <v>2273</v>
      </c>
      <c r="E64" s="12" t="s">
        <v>2274</v>
      </c>
      <c r="F64" s="12" t="n">
        <v>20</v>
      </c>
      <c r="G64" s="12" t="s">
        <v>955</v>
      </c>
      <c r="H64" s="12" t="s">
        <v>975</v>
      </c>
      <c r="I64" s="12" t="n">
        <v>20.2</v>
      </c>
      <c r="J64" s="16" t="s">
        <v>2275</v>
      </c>
      <c r="K64" s="15" t="n">
        <v>95000</v>
      </c>
      <c r="L64" s="12" t="n">
        <v>1</v>
      </c>
      <c r="M64" s="12" t="n">
        <f aca="false">IF(COUNTIF(Products!$A:$A,B64)=0,"",IF(INDEX(Products!$G:$G,MATCH(B64,Products!$A:$A,0))="C7010","Hatch_Schedule: "&amp;COUNTIF(Hatch_Schedule!$B:$B,A64)&amp;" dates",COUNTIF(Store_Inventory!$C:$C,A64)))</f>
        <v>5</v>
      </c>
    </row>
    <row r="65" customFormat="false" ht="15" hidden="false" customHeight="false" outlineLevel="0" collapsed="false">
      <c r="A65" s="12" t="s">
        <v>2276</v>
      </c>
      <c r="B65" s="12" t="s">
        <v>1639</v>
      </c>
      <c r="C65" s="12" t="s">
        <v>1640</v>
      </c>
      <c r="D65" s="12" t="s">
        <v>2213</v>
      </c>
      <c r="E65" s="12" t="s">
        <v>2277</v>
      </c>
      <c r="F65" s="12" t="n">
        <v>100</v>
      </c>
      <c r="G65" s="12" t="s">
        <v>952</v>
      </c>
      <c r="H65" s="12" t="s">
        <v>977</v>
      </c>
      <c r="I65" s="12" t="n">
        <v>0.12</v>
      </c>
      <c r="J65" s="16" t="s">
        <v>2278</v>
      </c>
      <c r="K65" s="15" t="n">
        <v>6000</v>
      </c>
      <c r="L65" s="12" t="n">
        <v>1</v>
      </c>
      <c r="M65" s="12" t="n">
        <f aca="false">IF(COUNTIF(Products!$A:$A,B65)=0,"",IF(INDEX(Products!$G:$G,MATCH(B65,Products!$A:$A,0))="C7010","Hatch_Schedule: "&amp;COUNTIF(Hatch_Schedule!$B:$B,A65)&amp;" dates",COUNTIF(Store_Inventory!$C:$C,A65)))</f>
        <v>5</v>
      </c>
    </row>
    <row r="66" customFormat="false" ht="15" hidden="false" customHeight="false" outlineLevel="0" collapsed="false">
      <c r="A66" s="12" t="s">
        <v>2279</v>
      </c>
      <c r="B66" s="12" t="s">
        <v>1639</v>
      </c>
      <c r="C66" s="12" t="s">
        <v>1640</v>
      </c>
      <c r="D66" s="12" t="s">
        <v>2280</v>
      </c>
      <c r="E66" s="12" t="s">
        <v>2281</v>
      </c>
      <c r="F66" s="12" t="n">
        <v>500</v>
      </c>
      <c r="G66" s="12" t="s">
        <v>952</v>
      </c>
      <c r="H66" s="12" t="s">
        <v>989</v>
      </c>
      <c r="I66" s="12" t="n">
        <v>0.55</v>
      </c>
      <c r="J66" s="16" t="s">
        <v>2282</v>
      </c>
      <c r="K66" s="15" t="n">
        <v>25000</v>
      </c>
      <c r="L66" s="12" t="n">
        <v>1</v>
      </c>
      <c r="M66" s="12" t="n">
        <f aca="false">IF(COUNTIF(Products!$A:$A,B66)=0,"",IF(INDEX(Products!$G:$G,MATCH(B66,Products!$A:$A,0))="C7010","Hatch_Schedule: "&amp;COUNTIF(Hatch_Schedule!$B:$B,A66)&amp;" dates",COUNTIF(Store_Inventory!$C:$C,A66)))</f>
        <v>6</v>
      </c>
    </row>
    <row r="67" customFormat="false" ht="15" hidden="false" customHeight="false" outlineLevel="0" collapsed="false">
      <c r="A67" s="12" t="s">
        <v>2283</v>
      </c>
      <c r="B67" s="12" t="s">
        <v>1646</v>
      </c>
      <c r="C67" s="12" t="s">
        <v>1647</v>
      </c>
      <c r="D67" s="12" t="s">
        <v>2158</v>
      </c>
      <c r="E67" s="12" t="s">
        <v>2284</v>
      </c>
      <c r="F67" s="12" t="n">
        <v>1</v>
      </c>
      <c r="G67" s="12" t="s">
        <v>955</v>
      </c>
      <c r="H67" s="12" t="s">
        <v>989</v>
      </c>
      <c r="I67" s="12" t="n">
        <v>1.05</v>
      </c>
      <c r="J67" s="16" t="s">
        <v>2285</v>
      </c>
      <c r="K67" s="15" t="n">
        <v>35000</v>
      </c>
      <c r="L67" s="12" t="n">
        <v>1</v>
      </c>
      <c r="M67" s="12" t="n">
        <f aca="false">IF(COUNTIF(Products!$A:$A,B67)=0,"",IF(INDEX(Products!$G:$G,MATCH(B67,Products!$A:$A,0))="C7010","Hatch_Schedule: "&amp;COUNTIF(Hatch_Schedule!$B:$B,A67)&amp;" dates",COUNTIF(Store_Inventory!$C:$C,A67)))</f>
        <v>6</v>
      </c>
    </row>
    <row r="68" customFormat="false" ht="15" hidden="false" customHeight="false" outlineLevel="0" collapsed="false">
      <c r="A68" s="12" t="s">
        <v>2286</v>
      </c>
      <c r="B68" s="12" t="s">
        <v>1654</v>
      </c>
      <c r="C68" s="12" t="s">
        <v>1655</v>
      </c>
      <c r="D68" s="12" t="s">
        <v>2158</v>
      </c>
      <c r="E68" s="12" t="s">
        <v>2287</v>
      </c>
      <c r="F68" s="12" t="n">
        <v>1</v>
      </c>
      <c r="G68" s="12" t="s">
        <v>955</v>
      </c>
      <c r="H68" s="12" t="s">
        <v>989</v>
      </c>
      <c r="I68" s="12" t="n">
        <v>1.05</v>
      </c>
      <c r="J68" s="16" t="s">
        <v>2288</v>
      </c>
      <c r="K68" s="15" t="n">
        <v>12000</v>
      </c>
      <c r="L68" s="12" t="n">
        <v>1</v>
      </c>
      <c r="M68" s="12" t="n">
        <f aca="false">IF(COUNTIF(Products!$A:$A,B68)=0,"",IF(INDEX(Products!$G:$G,MATCH(B68,Products!$A:$A,0))="C7010","Hatch_Schedule: "&amp;COUNTIF(Hatch_Schedule!$B:$B,A68)&amp;" dates",COUNTIF(Store_Inventory!$C:$C,A68)))</f>
        <v>6</v>
      </c>
    </row>
    <row r="69" customFormat="false" ht="15" hidden="false" customHeight="false" outlineLevel="0" collapsed="false">
      <c r="A69" s="12" t="s">
        <v>2289</v>
      </c>
      <c r="B69" s="12" t="s">
        <v>1654</v>
      </c>
      <c r="C69" s="12" t="s">
        <v>1655</v>
      </c>
      <c r="D69" s="12" t="s">
        <v>2071</v>
      </c>
      <c r="E69" s="12" t="s">
        <v>2290</v>
      </c>
      <c r="F69" s="12" t="n">
        <v>25</v>
      </c>
      <c r="G69" s="12" t="s">
        <v>955</v>
      </c>
      <c r="H69" s="12" t="s">
        <v>975</v>
      </c>
      <c r="I69" s="12" t="n">
        <v>25.2</v>
      </c>
      <c r="J69" s="16" t="s">
        <v>2291</v>
      </c>
      <c r="K69" s="15" t="n">
        <v>250000</v>
      </c>
      <c r="L69" s="12" t="n">
        <v>1</v>
      </c>
      <c r="M69" s="12" t="n">
        <f aca="false">IF(COUNTIF(Products!$A:$A,B69)=0,"",IF(INDEX(Products!$G:$G,MATCH(B69,Products!$A:$A,0))="C7010","Hatch_Schedule: "&amp;COUNTIF(Hatch_Schedule!$B:$B,A69)&amp;" dates",COUNTIF(Store_Inventory!$C:$C,A69)))</f>
        <v>5</v>
      </c>
    </row>
    <row r="70" customFormat="false" ht="15" hidden="false" customHeight="false" outlineLevel="0" collapsed="false">
      <c r="A70" s="12" t="s">
        <v>2292</v>
      </c>
      <c r="B70" s="12" t="s">
        <v>1661</v>
      </c>
      <c r="C70" s="12" t="s">
        <v>1662</v>
      </c>
      <c r="D70" s="12" t="s">
        <v>2241</v>
      </c>
      <c r="E70" s="12" t="s">
        <v>2293</v>
      </c>
      <c r="F70" s="12" t="n">
        <v>500</v>
      </c>
      <c r="G70" s="12" t="s">
        <v>958</v>
      </c>
      <c r="H70" s="12" t="s">
        <v>979</v>
      </c>
      <c r="I70" s="12" t="n">
        <v>0.6</v>
      </c>
      <c r="J70" s="16" t="s">
        <v>2294</v>
      </c>
      <c r="K70" s="15" t="n">
        <v>14000</v>
      </c>
      <c r="L70" s="12" t="n">
        <v>1</v>
      </c>
      <c r="M70" s="12" t="n">
        <f aca="false">IF(COUNTIF(Products!$A:$A,B70)=0,"",IF(INDEX(Products!$G:$G,MATCH(B70,Products!$A:$A,0))="C7010","Hatch_Schedule: "&amp;COUNTIF(Hatch_Schedule!$B:$B,A70)&amp;" dates",COUNTIF(Store_Inventory!$C:$C,A70)))</f>
        <v>4</v>
      </c>
    </row>
    <row r="71" customFormat="false" ht="15" hidden="false" customHeight="false" outlineLevel="0" collapsed="false">
      <c r="A71" s="12" t="s">
        <v>2295</v>
      </c>
      <c r="B71" s="12" t="s">
        <v>1661</v>
      </c>
      <c r="C71" s="12" t="s">
        <v>1662</v>
      </c>
      <c r="D71" s="12" t="s">
        <v>2245</v>
      </c>
      <c r="E71" s="12" t="s">
        <v>2296</v>
      </c>
      <c r="F71" s="12" t="n">
        <v>1</v>
      </c>
      <c r="G71" s="12" t="s">
        <v>961</v>
      </c>
      <c r="H71" s="12" t="s">
        <v>979</v>
      </c>
      <c r="I71" s="12" t="n">
        <v>1.1</v>
      </c>
      <c r="J71" s="16" t="s">
        <v>2297</v>
      </c>
      <c r="K71" s="15" t="n">
        <v>26000</v>
      </c>
      <c r="L71" s="12" t="n">
        <v>1</v>
      </c>
      <c r="M71" s="12" t="n">
        <f aca="false">IF(COUNTIF(Products!$A:$A,B71)=0,"",IF(INDEX(Products!$G:$G,MATCH(B71,Products!$A:$A,0))="C7010","Hatch_Schedule: "&amp;COUNTIF(Hatch_Schedule!$B:$B,A71)&amp;" dates",COUNTIF(Store_Inventory!$C:$C,A71)))</f>
        <v>5</v>
      </c>
    </row>
    <row r="72" customFormat="false" ht="15" hidden="false" customHeight="false" outlineLevel="0" collapsed="false">
      <c r="A72" s="12" t="s">
        <v>2298</v>
      </c>
      <c r="B72" s="12" t="s">
        <v>1668</v>
      </c>
      <c r="C72" s="12" t="s">
        <v>1669</v>
      </c>
      <c r="D72" s="12" t="s">
        <v>2299</v>
      </c>
      <c r="E72" s="12" t="s">
        <v>2300</v>
      </c>
      <c r="F72" s="12" t="n">
        <v>50</v>
      </c>
      <c r="G72" s="12" t="s">
        <v>958</v>
      </c>
      <c r="H72" s="12" t="s">
        <v>979</v>
      </c>
      <c r="I72" s="12" t="n">
        <v>0.12</v>
      </c>
      <c r="J72" s="16" t="s">
        <v>2301</v>
      </c>
      <c r="K72" s="15" t="n">
        <v>7000</v>
      </c>
      <c r="L72" s="12" t="n">
        <v>1</v>
      </c>
      <c r="M72" s="12" t="n">
        <f aca="false">IF(COUNTIF(Products!$A:$A,B72)=0,"",IF(INDEX(Products!$G:$G,MATCH(B72,Products!$A:$A,0))="C7010","Hatch_Schedule: "&amp;COUNTIF(Hatch_Schedule!$B:$B,A72)&amp;" dates",COUNTIF(Store_Inventory!$C:$C,A72)))</f>
        <v>5</v>
      </c>
    </row>
    <row r="73" customFormat="false" ht="15" hidden="false" customHeight="false" outlineLevel="0" collapsed="false">
      <c r="A73" s="12" t="s">
        <v>2302</v>
      </c>
      <c r="B73" s="12" t="s">
        <v>1668</v>
      </c>
      <c r="C73" s="12" t="s">
        <v>1669</v>
      </c>
      <c r="D73" s="12" t="s">
        <v>2237</v>
      </c>
      <c r="E73" s="12" t="s">
        <v>2303</v>
      </c>
      <c r="F73" s="12" t="n">
        <v>100</v>
      </c>
      <c r="G73" s="12" t="s">
        <v>958</v>
      </c>
      <c r="H73" s="12" t="s">
        <v>979</v>
      </c>
      <c r="I73" s="12" t="n">
        <v>0.2</v>
      </c>
      <c r="J73" s="16" t="s">
        <v>2304</v>
      </c>
      <c r="K73" s="15" t="n">
        <v>12000</v>
      </c>
      <c r="L73" s="12" t="n">
        <v>1</v>
      </c>
      <c r="M73" s="12" t="n">
        <f aca="false">IF(COUNTIF(Products!$A:$A,B73)=0,"",IF(INDEX(Products!$G:$G,MATCH(B73,Products!$A:$A,0))="C7010","Hatch_Schedule: "&amp;COUNTIF(Hatch_Schedule!$B:$B,A73)&amp;" dates",COUNTIF(Store_Inventory!$C:$C,A73)))</f>
        <v>6</v>
      </c>
    </row>
    <row r="74" customFormat="false" ht="15" hidden="false" customHeight="false" outlineLevel="0" collapsed="false">
      <c r="A74" s="12" t="s">
        <v>2305</v>
      </c>
      <c r="B74" s="12" t="s">
        <v>1677</v>
      </c>
      <c r="C74" s="12" t="s">
        <v>1678</v>
      </c>
      <c r="D74" s="12" t="s">
        <v>2213</v>
      </c>
      <c r="E74" s="12" t="s">
        <v>2306</v>
      </c>
      <c r="F74" s="12" t="n">
        <v>100</v>
      </c>
      <c r="G74" s="12" t="s">
        <v>952</v>
      </c>
      <c r="H74" s="12" t="s">
        <v>977</v>
      </c>
      <c r="I74" s="12" t="n">
        <v>0.12</v>
      </c>
      <c r="J74" s="16" t="s">
        <v>2307</v>
      </c>
      <c r="K74" s="15" t="n">
        <v>5000</v>
      </c>
      <c r="L74" s="12" t="n">
        <v>1</v>
      </c>
      <c r="M74" s="12" t="n">
        <f aca="false">IF(COUNTIF(Products!$A:$A,B74)=0,"",IF(INDEX(Products!$G:$G,MATCH(B74,Products!$A:$A,0))="C7010","Hatch_Schedule: "&amp;COUNTIF(Hatch_Schedule!$B:$B,A74)&amp;" dates",COUNTIF(Store_Inventory!$C:$C,A74)))</f>
        <v>5</v>
      </c>
    </row>
    <row r="75" customFormat="false" ht="15" hidden="false" customHeight="false" outlineLevel="0" collapsed="false">
      <c r="A75" s="12" t="s">
        <v>2308</v>
      </c>
      <c r="B75" s="12" t="s">
        <v>1684</v>
      </c>
      <c r="C75" s="12" t="s">
        <v>1685</v>
      </c>
      <c r="D75" s="12" t="s">
        <v>2213</v>
      </c>
      <c r="E75" s="12" t="s">
        <v>2309</v>
      </c>
      <c r="F75" s="12" t="n">
        <v>100</v>
      </c>
      <c r="G75" s="12" t="s">
        <v>952</v>
      </c>
      <c r="H75" s="12" t="s">
        <v>977</v>
      </c>
      <c r="I75" s="12" t="n">
        <v>0.12</v>
      </c>
      <c r="J75" s="16" t="s">
        <v>2310</v>
      </c>
      <c r="K75" s="15" t="n">
        <v>9000</v>
      </c>
      <c r="L75" s="12" t="n">
        <v>1</v>
      </c>
      <c r="M75" s="12" t="n">
        <f aca="false">IF(COUNTIF(Products!$A:$A,B75)=0,"",IF(INDEX(Products!$G:$G,MATCH(B75,Products!$A:$A,0))="C7010","Hatch_Schedule: "&amp;COUNTIF(Hatch_Schedule!$B:$B,A75)&amp;" dates",COUNTIF(Store_Inventory!$C:$C,A75)))</f>
        <v>4</v>
      </c>
    </row>
    <row r="76" customFormat="false" ht="15" hidden="false" customHeight="false" outlineLevel="0" collapsed="false">
      <c r="A76" s="12" t="s">
        <v>2311</v>
      </c>
      <c r="B76" s="12" t="s">
        <v>1690</v>
      </c>
      <c r="C76" s="12" t="s">
        <v>1691</v>
      </c>
      <c r="D76" s="12" t="s">
        <v>2237</v>
      </c>
      <c r="E76" s="12" t="s">
        <v>2312</v>
      </c>
      <c r="F76" s="12" t="n">
        <v>100</v>
      </c>
      <c r="G76" s="12" t="s">
        <v>958</v>
      </c>
      <c r="H76" s="12" t="s">
        <v>979</v>
      </c>
      <c r="I76" s="12" t="n">
        <v>0.2</v>
      </c>
      <c r="J76" s="16" t="s">
        <v>2313</v>
      </c>
      <c r="K76" s="15" t="n">
        <v>14000</v>
      </c>
      <c r="L76" s="12" t="n">
        <v>1</v>
      </c>
      <c r="M76" s="12" t="n">
        <f aca="false">IF(COUNTIF(Products!$A:$A,B76)=0,"",IF(INDEX(Products!$G:$G,MATCH(B76,Products!$A:$A,0))="C7010","Hatch_Schedule: "&amp;COUNTIF(Hatch_Schedule!$B:$B,A76)&amp;" dates",COUNTIF(Store_Inventory!$C:$C,A76)))</f>
        <v>6</v>
      </c>
    </row>
    <row r="77" customFormat="false" ht="15" hidden="false" customHeight="false" outlineLevel="0" collapsed="false">
      <c r="A77" s="12" t="s">
        <v>2314</v>
      </c>
      <c r="B77" s="12" t="s">
        <v>1697</v>
      </c>
      <c r="C77" s="12" t="s">
        <v>1698</v>
      </c>
      <c r="D77" s="12" t="s">
        <v>2241</v>
      </c>
      <c r="E77" s="12" t="s">
        <v>2315</v>
      </c>
      <c r="F77" s="12" t="n">
        <v>500</v>
      </c>
      <c r="G77" s="12" t="s">
        <v>958</v>
      </c>
      <c r="H77" s="12" t="s">
        <v>979</v>
      </c>
      <c r="I77" s="12" t="n">
        <v>0.6</v>
      </c>
      <c r="J77" s="16" t="s">
        <v>2316</v>
      </c>
      <c r="K77" s="15" t="n">
        <v>16000</v>
      </c>
      <c r="L77" s="12" t="n">
        <v>1</v>
      </c>
      <c r="M77" s="12" t="n">
        <f aca="false">IF(COUNTIF(Products!$A:$A,B77)=0,"",IF(INDEX(Products!$G:$G,MATCH(B77,Products!$A:$A,0))="C7010","Hatch_Schedule: "&amp;COUNTIF(Hatch_Schedule!$B:$B,A77)&amp;" dates",COUNTIF(Store_Inventory!$C:$C,A77)))</f>
        <v>5</v>
      </c>
    </row>
    <row r="78" customFormat="false" ht="15" hidden="false" customHeight="false" outlineLevel="0" collapsed="false">
      <c r="A78" s="12" t="s">
        <v>2317</v>
      </c>
      <c r="B78" s="12" t="s">
        <v>1697</v>
      </c>
      <c r="C78" s="12" t="s">
        <v>1698</v>
      </c>
      <c r="D78" s="12" t="s">
        <v>2245</v>
      </c>
      <c r="E78" s="12" t="s">
        <v>2318</v>
      </c>
      <c r="F78" s="12" t="n">
        <v>1</v>
      </c>
      <c r="G78" s="12" t="s">
        <v>961</v>
      </c>
      <c r="H78" s="12" t="s">
        <v>979</v>
      </c>
      <c r="I78" s="12" t="n">
        <v>1.1</v>
      </c>
      <c r="J78" s="16" t="s">
        <v>2319</v>
      </c>
      <c r="K78" s="15" t="n">
        <v>28000</v>
      </c>
      <c r="L78" s="12" t="n">
        <v>1</v>
      </c>
      <c r="M78" s="12" t="n">
        <f aca="false">IF(COUNTIF(Products!$A:$A,B78)=0,"",IF(INDEX(Products!$G:$G,MATCH(B78,Products!$A:$A,0))="C7010","Hatch_Schedule: "&amp;COUNTIF(Hatch_Schedule!$B:$B,A78)&amp;" dates",COUNTIF(Store_Inventory!$C:$C,A78)))</f>
        <v>6</v>
      </c>
    </row>
    <row r="79" customFormat="false" ht="15" hidden="false" customHeight="false" outlineLevel="0" collapsed="false">
      <c r="A79" s="12" t="s">
        <v>2320</v>
      </c>
      <c r="B79" s="12" t="s">
        <v>1706</v>
      </c>
      <c r="C79" s="12" t="s">
        <v>1707</v>
      </c>
      <c r="D79" s="12" t="s">
        <v>2213</v>
      </c>
      <c r="E79" s="12" t="s">
        <v>2321</v>
      </c>
      <c r="F79" s="12" t="n">
        <v>100</v>
      </c>
      <c r="G79" s="12" t="s">
        <v>952</v>
      </c>
      <c r="H79" s="12" t="s">
        <v>977</v>
      </c>
      <c r="I79" s="12" t="n">
        <v>0.12</v>
      </c>
      <c r="J79" s="16" t="s">
        <v>2322</v>
      </c>
      <c r="K79" s="15" t="n">
        <v>3500</v>
      </c>
      <c r="L79" s="12" t="n">
        <v>1</v>
      </c>
      <c r="M79" s="12" t="n">
        <f aca="false">IF(COUNTIF(Products!$A:$A,B79)=0,"",IF(INDEX(Products!$G:$G,MATCH(B79,Products!$A:$A,0))="C7010","Hatch_Schedule: "&amp;COUNTIF(Hatch_Schedule!$B:$B,A79)&amp;" dates",COUNTIF(Store_Inventory!$C:$C,A79)))</f>
        <v>6</v>
      </c>
    </row>
    <row r="80" customFormat="false" ht="15" hidden="false" customHeight="false" outlineLevel="0" collapsed="false">
      <c r="A80" s="12" t="s">
        <v>2323</v>
      </c>
      <c r="B80" s="12" t="s">
        <v>1712</v>
      </c>
      <c r="C80" s="12" t="s">
        <v>1713</v>
      </c>
      <c r="D80" s="12" t="s">
        <v>2241</v>
      </c>
      <c r="E80" s="12" t="s">
        <v>2324</v>
      </c>
      <c r="F80" s="12" t="n">
        <v>500</v>
      </c>
      <c r="G80" s="12" t="s">
        <v>958</v>
      </c>
      <c r="H80" s="12" t="s">
        <v>979</v>
      </c>
      <c r="I80" s="12" t="n">
        <v>0.6</v>
      </c>
      <c r="J80" s="16" t="s">
        <v>2325</v>
      </c>
      <c r="K80" s="15" t="n">
        <v>14000</v>
      </c>
      <c r="L80" s="12" t="n">
        <v>1</v>
      </c>
      <c r="M80" s="12" t="n">
        <f aca="false">IF(COUNTIF(Products!$A:$A,B80)=0,"",IF(INDEX(Products!$G:$G,MATCH(B80,Products!$A:$A,0))="C7010","Hatch_Schedule: "&amp;COUNTIF(Hatch_Schedule!$B:$B,A80)&amp;" dates",COUNTIF(Store_Inventory!$C:$C,A80)))</f>
        <v>5</v>
      </c>
    </row>
    <row r="81" customFormat="false" ht="15" hidden="false" customHeight="false" outlineLevel="0" collapsed="false">
      <c r="A81" s="12" t="s">
        <v>2326</v>
      </c>
      <c r="B81" s="12" t="s">
        <v>1719</v>
      </c>
      <c r="C81" s="12" t="s">
        <v>1720</v>
      </c>
      <c r="D81" s="12" t="s">
        <v>2299</v>
      </c>
      <c r="E81" s="12" t="s">
        <v>2327</v>
      </c>
      <c r="F81" s="12" t="n">
        <v>50</v>
      </c>
      <c r="G81" s="12" t="s">
        <v>958</v>
      </c>
      <c r="H81" s="12" t="s">
        <v>979</v>
      </c>
      <c r="I81" s="12" t="n">
        <v>0.12</v>
      </c>
      <c r="J81" s="16" t="s">
        <v>2328</v>
      </c>
      <c r="K81" s="15" t="n">
        <v>8000</v>
      </c>
      <c r="L81" s="12" t="n">
        <v>1</v>
      </c>
      <c r="M81" s="12" t="n">
        <f aca="false">IF(COUNTIF(Products!$A:$A,B81)=0,"",IF(INDEX(Products!$G:$G,MATCH(B81,Products!$A:$A,0))="C7010","Hatch_Schedule: "&amp;COUNTIF(Hatch_Schedule!$B:$B,A81)&amp;" dates",COUNTIF(Store_Inventory!$C:$C,A81)))</f>
        <v>6</v>
      </c>
    </row>
    <row r="82" customFormat="false" ht="15" hidden="false" customHeight="false" outlineLevel="0" collapsed="false">
      <c r="A82" s="12" t="s">
        <v>2329</v>
      </c>
      <c r="B82" s="12" t="s">
        <v>1719</v>
      </c>
      <c r="C82" s="12" t="s">
        <v>1720</v>
      </c>
      <c r="D82" s="12" t="s">
        <v>2237</v>
      </c>
      <c r="E82" s="12" t="s">
        <v>2330</v>
      </c>
      <c r="F82" s="12" t="n">
        <v>100</v>
      </c>
      <c r="G82" s="12" t="s">
        <v>958</v>
      </c>
      <c r="H82" s="12" t="s">
        <v>979</v>
      </c>
      <c r="I82" s="12" t="n">
        <v>0.2</v>
      </c>
      <c r="J82" s="16" t="s">
        <v>2331</v>
      </c>
      <c r="K82" s="15" t="n">
        <v>14000</v>
      </c>
      <c r="L82" s="12" t="n">
        <v>1</v>
      </c>
      <c r="M82" s="12" t="n">
        <f aca="false">IF(COUNTIF(Products!$A:$A,B82)=0,"",IF(INDEX(Products!$G:$G,MATCH(B82,Products!$A:$A,0))="C7010","Hatch_Schedule: "&amp;COUNTIF(Hatch_Schedule!$B:$B,A82)&amp;" dates",COUNTIF(Store_Inventory!$C:$C,A82)))</f>
        <v>5</v>
      </c>
    </row>
    <row r="83" customFormat="false" ht="15" hidden="false" customHeight="false" outlineLevel="0" collapsed="false">
      <c r="A83" s="12" t="s">
        <v>2332</v>
      </c>
      <c r="B83" s="12" t="s">
        <v>1727</v>
      </c>
      <c r="C83" s="12" t="s">
        <v>1728</v>
      </c>
      <c r="D83" s="12" t="s">
        <v>2213</v>
      </c>
      <c r="E83" s="12" t="s">
        <v>2333</v>
      </c>
      <c r="F83" s="12" t="n">
        <v>100</v>
      </c>
      <c r="G83" s="12" t="s">
        <v>952</v>
      </c>
      <c r="H83" s="12" t="s">
        <v>977</v>
      </c>
      <c r="I83" s="12" t="n">
        <v>0.12</v>
      </c>
      <c r="J83" s="16" t="s">
        <v>2334</v>
      </c>
      <c r="K83" s="15" t="n">
        <v>5000</v>
      </c>
      <c r="L83" s="12" t="n">
        <v>1</v>
      </c>
      <c r="M83" s="12" t="n">
        <f aca="false">IF(COUNTIF(Products!$A:$A,B83)=0,"",IF(INDEX(Products!$G:$G,MATCH(B83,Products!$A:$A,0))="C7010","Hatch_Schedule: "&amp;COUNTIF(Hatch_Schedule!$B:$B,A83)&amp;" dates",COUNTIF(Store_Inventory!$C:$C,A83)))</f>
        <v>4</v>
      </c>
    </row>
    <row r="84" customFormat="false" ht="15" hidden="false" customHeight="false" outlineLevel="0" collapsed="false">
      <c r="A84" s="12" t="s">
        <v>2335</v>
      </c>
      <c r="B84" s="12" t="s">
        <v>1727</v>
      </c>
      <c r="C84" s="12" t="s">
        <v>1728</v>
      </c>
      <c r="D84" s="12" t="s">
        <v>2233</v>
      </c>
      <c r="E84" s="12" t="s">
        <v>2336</v>
      </c>
      <c r="F84" s="12" t="n">
        <v>1</v>
      </c>
      <c r="G84" s="12" t="s">
        <v>955</v>
      </c>
      <c r="H84" s="12" t="s">
        <v>983</v>
      </c>
      <c r="I84" s="12" t="n">
        <v>1.1</v>
      </c>
      <c r="J84" s="16" t="s">
        <v>2337</v>
      </c>
      <c r="K84" s="15" t="n">
        <v>38000</v>
      </c>
      <c r="L84" s="12" t="n">
        <v>1</v>
      </c>
      <c r="M84" s="12" t="n">
        <f aca="false">IF(COUNTIF(Products!$A:$A,B84)=0,"",IF(INDEX(Products!$G:$G,MATCH(B84,Products!$A:$A,0))="C7010","Hatch_Schedule: "&amp;COUNTIF(Hatch_Schedule!$B:$B,A84)&amp;" dates",COUNTIF(Store_Inventory!$C:$C,A84)))</f>
        <v>5</v>
      </c>
    </row>
    <row r="85" customFormat="false" ht="15" hidden="false" customHeight="false" outlineLevel="0" collapsed="false">
      <c r="A85" s="12" t="s">
        <v>2338</v>
      </c>
      <c r="B85" s="12" t="s">
        <v>1734</v>
      </c>
      <c r="C85" s="12" t="s">
        <v>1735</v>
      </c>
      <c r="D85" s="12" t="s">
        <v>2237</v>
      </c>
      <c r="E85" s="12" t="s">
        <v>2339</v>
      </c>
      <c r="F85" s="12" t="n">
        <v>100</v>
      </c>
      <c r="G85" s="12" t="s">
        <v>958</v>
      </c>
      <c r="H85" s="12" t="s">
        <v>979</v>
      </c>
      <c r="I85" s="12" t="n">
        <v>0.15</v>
      </c>
      <c r="J85" s="16" t="s">
        <v>2340</v>
      </c>
      <c r="K85" s="15" t="n">
        <v>12000</v>
      </c>
      <c r="L85" s="12" t="n">
        <v>1</v>
      </c>
      <c r="M85" s="12" t="n">
        <f aca="false">IF(COUNTIF(Products!$A:$A,B85)=0,"",IF(INDEX(Products!$G:$G,MATCH(B85,Products!$A:$A,0))="C7010","Hatch_Schedule: "&amp;COUNTIF(Hatch_Schedule!$B:$B,A85)&amp;" dates",COUNTIF(Store_Inventory!$C:$C,A85)))</f>
        <v>6</v>
      </c>
    </row>
    <row r="86" customFormat="false" ht="15" hidden="false" customHeight="false" outlineLevel="0" collapsed="false">
      <c r="A86" s="12" t="s">
        <v>2341</v>
      </c>
      <c r="B86" s="12" t="s">
        <v>1734</v>
      </c>
      <c r="C86" s="12" t="s">
        <v>1735</v>
      </c>
      <c r="D86" s="12" t="s">
        <v>2245</v>
      </c>
      <c r="E86" s="12" t="s">
        <v>2342</v>
      </c>
      <c r="F86" s="12" t="n">
        <v>1</v>
      </c>
      <c r="G86" s="12" t="s">
        <v>961</v>
      </c>
      <c r="H86" s="12" t="s">
        <v>979</v>
      </c>
      <c r="I86" s="12" t="n">
        <v>1.1</v>
      </c>
      <c r="J86" s="16" t="s">
        <v>2343</v>
      </c>
      <c r="K86" s="15" t="n">
        <v>85000</v>
      </c>
      <c r="L86" s="12" t="n">
        <v>1</v>
      </c>
      <c r="M86" s="12" t="n">
        <f aca="false">IF(COUNTIF(Products!$A:$A,B86)=0,"",IF(INDEX(Products!$G:$G,MATCH(B86,Products!$A:$A,0))="C7010","Hatch_Schedule: "&amp;COUNTIF(Hatch_Schedule!$B:$B,A86)&amp;" dates",COUNTIF(Store_Inventory!$C:$C,A86)))</f>
        <v>6</v>
      </c>
    </row>
    <row r="87" customFormat="false" ht="15" hidden="false" customHeight="false" outlineLevel="0" collapsed="false">
      <c r="A87" s="12" t="s">
        <v>2344</v>
      </c>
      <c r="B87" s="12" t="s">
        <v>1740</v>
      </c>
      <c r="C87" s="12" t="s">
        <v>1741</v>
      </c>
      <c r="D87" s="12" t="s">
        <v>2345</v>
      </c>
      <c r="E87" s="12" t="s">
        <v>2346</v>
      </c>
      <c r="F87" s="12" t="n">
        <v>250</v>
      </c>
      <c r="G87" s="12" t="s">
        <v>958</v>
      </c>
      <c r="H87" s="12" t="s">
        <v>979</v>
      </c>
      <c r="I87" s="12" t="n">
        <v>0.3</v>
      </c>
      <c r="J87" s="16" t="s">
        <v>2347</v>
      </c>
      <c r="K87" s="15" t="n">
        <v>9000</v>
      </c>
      <c r="L87" s="12" t="n">
        <v>1</v>
      </c>
      <c r="M87" s="12" t="n">
        <f aca="false">IF(COUNTIF(Products!$A:$A,B87)=0,"",IF(INDEX(Products!$G:$G,MATCH(B87,Products!$A:$A,0))="C7010","Hatch_Schedule: "&amp;COUNTIF(Hatch_Schedule!$B:$B,A87)&amp;" dates",COUNTIF(Store_Inventory!$C:$C,A87)))</f>
        <v>6</v>
      </c>
    </row>
    <row r="88" customFormat="false" ht="15" hidden="false" customHeight="false" outlineLevel="0" collapsed="false">
      <c r="A88" s="12" t="s">
        <v>2348</v>
      </c>
      <c r="B88" s="12" t="s">
        <v>1740</v>
      </c>
      <c r="C88" s="12" t="s">
        <v>1741</v>
      </c>
      <c r="D88" s="12" t="s">
        <v>2245</v>
      </c>
      <c r="E88" s="12" t="s">
        <v>2349</v>
      </c>
      <c r="F88" s="12" t="n">
        <v>1</v>
      </c>
      <c r="G88" s="12" t="s">
        <v>961</v>
      </c>
      <c r="H88" s="12" t="s">
        <v>979</v>
      </c>
      <c r="I88" s="12" t="n">
        <v>1.1</v>
      </c>
      <c r="J88" s="16" t="s">
        <v>2350</v>
      </c>
      <c r="K88" s="15" t="n">
        <v>30000</v>
      </c>
      <c r="L88" s="12" t="n">
        <v>1</v>
      </c>
      <c r="M88" s="12" t="n">
        <f aca="false">IF(COUNTIF(Products!$A:$A,B88)=0,"",IF(INDEX(Products!$G:$G,MATCH(B88,Products!$A:$A,0))="C7010","Hatch_Schedule: "&amp;COUNTIF(Hatch_Schedule!$B:$B,A88)&amp;" dates",COUNTIF(Store_Inventory!$C:$C,A88)))</f>
        <v>6</v>
      </c>
    </row>
    <row r="89" customFormat="false" ht="15" hidden="false" customHeight="false" outlineLevel="0" collapsed="false">
      <c r="A89" s="12" t="s">
        <v>2351</v>
      </c>
      <c r="B89" s="12" t="s">
        <v>1749</v>
      </c>
      <c r="C89" s="12" t="s">
        <v>1750</v>
      </c>
      <c r="D89" s="12" t="s">
        <v>2241</v>
      </c>
      <c r="E89" s="12" t="s">
        <v>2352</v>
      </c>
      <c r="F89" s="12" t="n">
        <v>500</v>
      </c>
      <c r="G89" s="12" t="s">
        <v>958</v>
      </c>
      <c r="H89" s="12" t="s">
        <v>979</v>
      </c>
      <c r="I89" s="12" t="n">
        <v>0.6</v>
      </c>
      <c r="J89" s="16" t="s">
        <v>2353</v>
      </c>
      <c r="K89" s="15" t="n">
        <v>22000</v>
      </c>
      <c r="L89" s="12" t="n">
        <v>1</v>
      </c>
      <c r="M89" s="12" t="n">
        <f aca="false">IF(COUNTIF(Products!$A:$A,B89)=0,"",IF(INDEX(Products!$G:$G,MATCH(B89,Products!$A:$A,0))="C7010","Hatch_Schedule: "&amp;COUNTIF(Hatch_Schedule!$B:$B,A89)&amp;" dates",COUNTIF(Store_Inventory!$C:$C,A89)))</f>
        <v>5</v>
      </c>
    </row>
    <row r="90" customFormat="false" ht="15" hidden="false" customHeight="false" outlineLevel="0" collapsed="false">
      <c r="A90" s="12" t="s">
        <v>2354</v>
      </c>
      <c r="B90" s="12" t="s">
        <v>1755</v>
      </c>
      <c r="C90" s="12" t="s">
        <v>1756</v>
      </c>
      <c r="D90" s="12" t="s">
        <v>2280</v>
      </c>
      <c r="E90" s="12" t="s">
        <v>2355</v>
      </c>
      <c r="F90" s="12" t="n">
        <v>500</v>
      </c>
      <c r="G90" s="12" t="s">
        <v>952</v>
      </c>
      <c r="H90" s="12" t="s">
        <v>989</v>
      </c>
      <c r="I90" s="12" t="n">
        <v>0.55</v>
      </c>
      <c r="J90" s="16" t="s">
        <v>2356</v>
      </c>
      <c r="K90" s="15" t="n">
        <v>7000</v>
      </c>
      <c r="L90" s="12" t="n">
        <v>1</v>
      </c>
      <c r="M90" s="12" t="n">
        <f aca="false">IF(COUNTIF(Products!$A:$A,B90)=0,"",IF(INDEX(Products!$G:$G,MATCH(B90,Products!$A:$A,0))="C7010","Hatch_Schedule: "&amp;COUNTIF(Hatch_Schedule!$B:$B,A90)&amp;" dates",COUNTIF(Store_Inventory!$C:$C,A90)))</f>
        <v>5</v>
      </c>
    </row>
    <row r="91" customFormat="false" ht="15" hidden="false" customHeight="false" outlineLevel="0" collapsed="false">
      <c r="A91" s="12" t="s">
        <v>2357</v>
      </c>
      <c r="B91" s="12" t="s">
        <v>1761</v>
      </c>
      <c r="C91" s="12" t="s">
        <v>1762</v>
      </c>
      <c r="D91" s="12" t="s">
        <v>2358</v>
      </c>
      <c r="E91" s="12" t="s">
        <v>2359</v>
      </c>
      <c r="F91" s="12" t="n">
        <v>200</v>
      </c>
      <c r="G91" s="12" t="s">
        <v>958</v>
      </c>
      <c r="H91" s="12" t="s">
        <v>979</v>
      </c>
      <c r="I91" s="12" t="n">
        <v>0.3</v>
      </c>
      <c r="J91" s="16" t="s">
        <v>2360</v>
      </c>
      <c r="K91" s="15" t="n">
        <v>13000</v>
      </c>
      <c r="L91" s="12" t="n">
        <v>1</v>
      </c>
      <c r="M91" s="12" t="n">
        <f aca="false">IF(COUNTIF(Products!$A:$A,B91)=0,"",IF(INDEX(Products!$G:$G,MATCH(B91,Products!$A:$A,0))="C7010","Hatch_Schedule: "&amp;COUNTIF(Hatch_Schedule!$B:$B,A91)&amp;" dates",COUNTIF(Store_Inventory!$C:$C,A91)))</f>
        <v>5</v>
      </c>
    </row>
    <row r="92" customFormat="false" ht="15" hidden="false" customHeight="false" outlineLevel="0" collapsed="false">
      <c r="A92" s="12" t="s">
        <v>2361</v>
      </c>
      <c r="B92" s="12" t="s">
        <v>1770</v>
      </c>
      <c r="C92" s="12" t="s">
        <v>1771</v>
      </c>
      <c r="D92" s="12" t="s">
        <v>2362</v>
      </c>
      <c r="E92" s="12" t="s">
        <v>2363</v>
      </c>
      <c r="F92" s="12" t="n">
        <v>400</v>
      </c>
      <c r="G92" s="12" t="s">
        <v>958</v>
      </c>
      <c r="H92" s="12" t="s">
        <v>979</v>
      </c>
      <c r="I92" s="12" t="n">
        <v>0.5</v>
      </c>
      <c r="J92" s="16" t="s">
        <v>2364</v>
      </c>
      <c r="K92" s="15" t="n">
        <v>15000</v>
      </c>
      <c r="L92" s="12" t="n">
        <v>1</v>
      </c>
      <c r="M92" s="12" t="n">
        <f aca="false">IF(COUNTIF(Products!$A:$A,B92)=0,"",IF(INDEX(Products!$G:$G,MATCH(B92,Products!$A:$A,0))="C7010","Hatch_Schedule: "&amp;COUNTIF(Hatch_Schedule!$B:$B,A92)&amp;" dates",COUNTIF(Store_Inventory!$C:$C,A92)))</f>
        <v>5</v>
      </c>
    </row>
    <row r="93" customFormat="false" ht="15" hidden="false" customHeight="false" outlineLevel="0" collapsed="false">
      <c r="A93" s="12" t="s">
        <v>2365</v>
      </c>
      <c r="B93" s="12" t="s">
        <v>1777</v>
      </c>
      <c r="C93" s="12" t="s">
        <v>1778</v>
      </c>
      <c r="D93" s="12" t="s">
        <v>2366</v>
      </c>
      <c r="E93" s="12" t="s">
        <v>2367</v>
      </c>
      <c r="F93" s="12" t="n">
        <v>100</v>
      </c>
      <c r="G93" s="12" t="s">
        <v>964</v>
      </c>
      <c r="H93" s="12" t="s">
        <v>981</v>
      </c>
      <c r="I93" s="12" t="n">
        <v>0.05</v>
      </c>
      <c r="J93" s="16" t="s">
        <v>2368</v>
      </c>
      <c r="K93" s="15" t="n">
        <v>4000</v>
      </c>
      <c r="L93" s="12" t="n">
        <v>1</v>
      </c>
      <c r="M93" s="12" t="n">
        <f aca="false">IF(COUNTIF(Products!$A:$A,B93)=0,"",IF(INDEX(Products!$G:$G,MATCH(B93,Products!$A:$A,0))="C7010","Hatch_Schedule: "&amp;COUNTIF(Hatch_Schedule!$B:$B,A93)&amp;" dates",COUNTIF(Store_Inventory!$C:$C,A93)))</f>
        <v>6</v>
      </c>
    </row>
    <row r="94" customFormat="false" ht="15" hidden="false" customHeight="false" outlineLevel="0" collapsed="false">
      <c r="A94" s="12" t="s">
        <v>2369</v>
      </c>
      <c r="B94" s="12" t="s">
        <v>1777</v>
      </c>
      <c r="C94" s="12" t="s">
        <v>1778</v>
      </c>
      <c r="D94" s="12" t="s">
        <v>2370</v>
      </c>
      <c r="E94" s="12" t="s">
        <v>2371</v>
      </c>
      <c r="F94" s="12" t="n">
        <v>500</v>
      </c>
      <c r="G94" s="12" t="s">
        <v>964</v>
      </c>
      <c r="H94" s="12" t="s">
        <v>981</v>
      </c>
      <c r="I94" s="12" t="n">
        <v>0.05</v>
      </c>
      <c r="J94" s="16" t="s">
        <v>2372</v>
      </c>
      <c r="K94" s="15" t="n">
        <v>13000</v>
      </c>
      <c r="L94" s="12" t="n">
        <v>1</v>
      </c>
      <c r="M94" s="12" t="n">
        <f aca="false">IF(COUNTIF(Products!$A:$A,B94)=0,"",IF(INDEX(Products!$G:$G,MATCH(B94,Products!$A:$A,0))="C7010","Hatch_Schedule: "&amp;COUNTIF(Hatch_Schedule!$B:$B,A94)&amp;" dates",COUNTIF(Store_Inventory!$C:$C,A94)))</f>
        <v>5</v>
      </c>
    </row>
    <row r="95" customFormat="false" ht="15" hidden="false" customHeight="false" outlineLevel="0" collapsed="false">
      <c r="A95" s="12" t="s">
        <v>2373</v>
      </c>
      <c r="B95" s="12" t="s">
        <v>1777</v>
      </c>
      <c r="C95" s="12" t="s">
        <v>1778</v>
      </c>
      <c r="D95" s="12" t="s">
        <v>2374</v>
      </c>
      <c r="E95" s="12" t="s">
        <v>2375</v>
      </c>
      <c r="F95" s="12" t="n">
        <v>1000</v>
      </c>
      <c r="G95" s="12" t="s">
        <v>964</v>
      </c>
      <c r="H95" s="12" t="s">
        <v>981</v>
      </c>
      <c r="I95" s="12" t="n">
        <v>0.05</v>
      </c>
      <c r="J95" s="16" t="s">
        <v>2376</v>
      </c>
      <c r="K95" s="15" t="n">
        <v>22000</v>
      </c>
      <c r="L95" s="12" t="n">
        <v>1</v>
      </c>
      <c r="M95" s="12" t="n">
        <f aca="false">IF(COUNTIF(Products!$A:$A,B95)=0,"",IF(INDEX(Products!$G:$G,MATCH(B95,Products!$A:$A,0))="C7010","Hatch_Schedule: "&amp;COUNTIF(Hatch_Schedule!$B:$B,A95)&amp;" dates",COUNTIF(Store_Inventory!$C:$C,A95)))</f>
        <v>6</v>
      </c>
    </row>
    <row r="96" customFormat="false" ht="15" hidden="false" customHeight="false" outlineLevel="0" collapsed="false">
      <c r="A96" s="12" t="s">
        <v>2377</v>
      </c>
      <c r="B96" s="12" t="s">
        <v>1785</v>
      </c>
      <c r="C96" s="12" t="s">
        <v>1786</v>
      </c>
      <c r="D96" s="12" t="s">
        <v>2366</v>
      </c>
      <c r="E96" s="12" t="s">
        <v>2378</v>
      </c>
      <c r="F96" s="12" t="n">
        <v>100</v>
      </c>
      <c r="G96" s="12" t="s">
        <v>964</v>
      </c>
      <c r="H96" s="12" t="s">
        <v>981</v>
      </c>
      <c r="I96" s="12" t="n">
        <v>0.05</v>
      </c>
      <c r="J96" s="16" t="s">
        <v>2379</v>
      </c>
      <c r="K96" s="15" t="n">
        <v>3000</v>
      </c>
      <c r="L96" s="12" t="n">
        <v>1</v>
      </c>
      <c r="M96" s="12" t="n">
        <f aca="false">IF(COUNTIF(Products!$A:$A,B96)=0,"",IF(INDEX(Products!$G:$G,MATCH(B96,Products!$A:$A,0))="C7010","Hatch_Schedule: "&amp;COUNTIF(Hatch_Schedule!$B:$B,A96)&amp;" dates",COUNTIF(Store_Inventory!$C:$C,A96)))</f>
        <v>6</v>
      </c>
    </row>
    <row r="97" customFormat="false" ht="15" hidden="false" customHeight="false" outlineLevel="0" collapsed="false">
      <c r="A97" s="12" t="s">
        <v>2380</v>
      </c>
      <c r="B97" s="12" t="s">
        <v>1785</v>
      </c>
      <c r="C97" s="12" t="s">
        <v>1786</v>
      </c>
      <c r="D97" s="12" t="s">
        <v>2381</v>
      </c>
      <c r="E97" s="12" t="s">
        <v>2382</v>
      </c>
      <c r="F97" s="12" t="n">
        <v>200</v>
      </c>
      <c r="G97" s="12" t="s">
        <v>964</v>
      </c>
      <c r="H97" s="12" t="s">
        <v>981</v>
      </c>
      <c r="I97" s="12" t="n">
        <v>0.05</v>
      </c>
      <c r="J97" s="16" t="s">
        <v>2383</v>
      </c>
      <c r="K97" s="15" t="n">
        <v>5000</v>
      </c>
      <c r="L97" s="12" t="n">
        <v>1</v>
      </c>
      <c r="M97" s="12" t="n">
        <f aca="false">IF(COUNTIF(Products!$A:$A,B97)=0,"",IF(INDEX(Products!$G:$G,MATCH(B97,Products!$A:$A,0))="C7010","Hatch_Schedule: "&amp;COUNTIF(Hatch_Schedule!$B:$B,A97)&amp;" dates",COUNTIF(Store_Inventory!$C:$C,A97)))</f>
        <v>5</v>
      </c>
    </row>
    <row r="98" customFormat="false" ht="15" hidden="false" customHeight="false" outlineLevel="0" collapsed="false">
      <c r="A98" s="12" t="s">
        <v>2384</v>
      </c>
      <c r="B98" s="12" t="s">
        <v>1792</v>
      </c>
      <c r="C98" s="12" t="s">
        <v>1793</v>
      </c>
      <c r="D98" s="12" t="s">
        <v>2370</v>
      </c>
      <c r="E98" s="12" t="s">
        <v>2385</v>
      </c>
      <c r="F98" s="12" t="n">
        <v>500</v>
      </c>
      <c r="G98" s="12" t="s">
        <v>964</v>
      </c>
      <c r="H98" s="12" t="s">
        <v>981</v>
      </c>
      <c r="I98" s="12" t="n">
        <v>0.05</v>
      </c>
      <c r="J98" s="16" t="s">
        <v>2386</v>
      </c>
      <c r="K98" s="15" t="n">
        <v>14000</v>
      </c>
      <c r="L98" s="12" t="n">
        <v>1</v>
      </c>
      <c r="M98" s="12" t="n">
        <f aca="false">IF(COUNTIF(Products!$A:$A,B98)=0,"",IF(INDEX(Products!$G:$G,MATCH(B98,Products!$A:$A,0))="C7010","Hatch_Schedule: "&amp;COUNTIF(Hatch_Schedule!$B:$B,A98)&amp;" dates",COUNTIF(Store_Inventory!$C:$C,A98)))</f>
        <v>3</v>
      </c>
    </row>
    <row r="99" customFormat="false" ht="15" hidden="false" customHeight="false" outlineLevel="0" collapsed="false">
      <c r="A99" s="12" t="s">
        <v>2387</v>
      </c>
      <c r="B99" s="12" t="s">
        <v>1792</v>
      </c>
      <c r="C99" s="12" t="s">
        <v>1793</v>
      </c>
      <c r="D99" s="12" t="s">
        <v>2374</v>
      </c>
      <c r="E99" s="12" t="s">
        <v>2388</v>
      </c>
      <c r="F99" s="12" t="n">
        <v>1000</v>
      </c>
      <c r="G99" s="12" t="s">
        <v>964</v>
      </c>
      <c r="H99" s="12" t="s">
        <v>981</v>
      </c>
      <c r="I99" s="12" t="n">
        <v>0.05</v>
      </c>
      <c r="J99" s="16" t="s">
        <v>2389</v>
      </c>
      <c r="K99" s="15" t="n">
        <v>25000</v>
      </c>
      <c r="L99" s="12" t="n">
        <v>1</v>
      </c>
      <c r="M99" s="12" t="n">
        <f aca="false">IF(COUNTIF(Products!$A:$A,B99)=0,"",IF(INDEX(Products!$G:$G,MATCH(B99,Products!$A:$A,0))="C7010","Hatch_Schedule: "&amp;COUNTIF(Hatch_Schedule!$B:$B,A99)&amp;" dates",COUNTIF(Store_Inventory!$C:$C,A99)))</f>
        <v>6</v>
      </c>
    </row>
    <row r="100" customFormat="false" ht="15" hidden="false" customHeight="false" outlineLevel="0" collapsed="false">
      <c r="A100" s="12" t="s">
        <v>2390</v>
      </c>
      <c r="B100" s="12" t="s">
        <v>1798</v>
      </c>
      <c r="C100" s="12" t="s">
        <v>1799</v>
      </c>
      <c r="D100" s="12" t="s">
        <v>2366</v>
      </c>
      <c r="E100" s="12" t="s">
        <v>2391</v>
      </c>
      <c r="F100" s="12" t="n">
        <v>100</v>
      </c>
      <c r="G100" s="12" t="s">
        <v>964</v>
      </c>
      <c r="H100" s="12" t="s">
        <v>981</v>
      </c>
      <c r="I100" s="12" t="n">
        <v>0.05</v>
      </c>
      <c r="J100" s="16" t="s">
        <v>2392</v>
      </c>
      <c r="K100" s="15" t="n">
        <v>5000</v>
      </c>
      <c r="L100" s="12" t="n">
        <v>1</v>
      </c>
      <c r="M100" s="12" t="n">
        <f aca="false">IF(COUNTIF(Products!$A:$A,B100)=0,"",IF(INDEX(Products!$G:$G,MATCH(B100,Products!$A:$A,0))="C7010","Hatch_Schedule: "&amp;COUNTIF(Hatch_Schedule!$B:$B,A100)&amp;" dates",COUNTIF(Store_Inventory!$C:$C,A100)))</f>
        <v>5</v>
      </c>
    </row>
    <row r="101" customFormat="false" ht="15" hidden="false" customHeight="false" outlineLevel="0" collapsed="false">
      <c r="A101" s="12" t="s">
        <v>2393</v>
      </c>
      <c r="B101" s="12" t="s">
        <v>1798</v>
      </c>
      <c r="C101" s="12" t="s">
        <v>1799</v>
      </c>
      <c r="D101" s="12" t="s">
        <v>2374</v>
      </c>
      <c r="E101" s="12" t="s">
        <v>2394</v>
      </c>
      <c r="F101" s="12" t="n">
        <v>1000</v>
      </c>
      <c r="G101" s="12" t="s">
        <v>964</v>
      </c>
      <c r="H101" s="12" t="s">
        <v>981</v>
      </c>
      <c r="I101" s="12" t="n">
        <v>0.05</v>
      </c>
      <c r="J101" s="16" t="s">
        <v>2395</v>
      </c>
      <c r="K101" s="15" t="n">
        <v>25000</v>
      </c>
      <c r="L101" s="12" t="n">
        <v>1</v>
      </c>
      <c r="M101" s="12" t="n">
        <f aca="false">IF(COUNTIF(Products!$A:$A,B101)=0,"",IF(INDEX(Products!$G:$G,MATCH(B101,Products!$A:$A,0))="C7010","Hatch_Schedule: "&amp;COUNTIF(Hatch_Schedule!$B:$B,A101)&amp;" dates",COUNTIF(Store_Inventory!$C:$C,A101)))</f>
        <v>6</v>
      </c>
    </row>
    <row r="102" customFormat="false" ht="15" hidden="false" customHeight="false" outlineLevel="0" collapsed="false">
      <c r="A102" s="12" t="s">
        <v>2396</v>
      </c>
      <c r="B102" s="12" t="s">
        <v>1804</v>
      </c>
      <c r="C102" s="12" t="s">
        <v>1805</v>
      </c>
      <c r="D102" s="12" t="s">
        <v>2374</v>
      </c>
      <c r="E102" s="12" t="s">
        <v>2397</v>
      </c>
      <c r="F102" s="12" t="n">
        <v>1000</v>
      </c>
      <c r="G102" s="12" t="s">
        <v>964</v>
      </c>
      <c r="H102" s="12" t="s">
        <v>981</v>
      </c>
      <c r="I102" s="12" t="n">
        <v>0.05</v>
      </c>
      <c r="J102" s="16" t="s">
        <v>2398</v>
      </c>
      <c r="K102" s="15" t="n">
        <v>45000</v>
      </c>
      <c r="L102" s="12" t="n">
        <v>1</v>
      </c>
      <c r="M102" s="12" t="n">
        <f aca="false">IF(COUNTIF(Products!$A:$A,B102)=0,"",IF(INDEX(Products!$G:$G,MATCH(B102,Products!$A:$A,0))="C7010","Hatch_Schedule: "&amp;COUNTIF(Hatch_Schedule!$B:$B,A102)&amp;" dates",COUNTIF(Store_Inventory!$C:$C,A102)))</f>
        <v>5</v>
      </c>
    </row>
    <row r="103" customFormat="false" ht="15" hidden="false" customHeight="false" outlineLevel="0" collapsed="false">
      <c r="A103" s="12" t="s">
        <v>2399</v>
      </c>
      <c r="B103" s="12" t="s">
        <v>1810</v>
      </c>
      <c r="C103" s="12" t="s">
        <v>1811</v>
      </c>
      <c r="D103" s="12" t="s">
        <v>2374</v>
      </c>
      <c r="E103" s="12" t="s">
        <v>2400</v>
      </c>
      <c r="F103" s="12" t="n">
        <v>1000</v>
      </c>
      <c r="G103" s="12" t="s">
        <v>964</v>
      </c>
      <c r="H103" s="12" t="s">
        <v>981</v>
      </c>
      <c r="I103" s="12" t="n">
        <v>0.05</v>
      </c>
      <c r="J103" s="16" t="s">
        <v>2401</v>
      </c>
      <c r="K103" s="15" t="n">
        <v>30000</v>
      </c>
      <c r="L103" s="12" t="n">
        <v>1</v>
      </c>
      <c r="M103" s="12" t="n">
        <f aca="false">IF(COUNTIF(Products!$A:$A,B103)=0,"",IF(INDEX(Products!$G:$G,MATCH(B103,Products!$A:$A,0))="C7010","Hatch_Schedule: "&amp;COUNTIF(Hatch_Schedule!$B:$B,A103)&amp;" dates",COUNTIF(Store_Inventory!$C:$C,A103)))</f>
        <v>6</v>
      </c>
    </row>
    <row r="104" customFormat="false" ht="15" hidden="false" customHeight="false" outlineLevel="0" collapsed="false">
      <c r="A104" s="12" t="s">
        <v>2402</v>
      </c>
      <c r="B104" s="12" t="s">
        <v>1816</v>
      </c>
      <c r="C104" s="12" t="s">
        <v>1817</v>
      </c>
      <c r="D104" s="12" t="s">
        <v>2403</v>
      </c>
      <c r="E104" s="12" t="s">
        <v>2404</v>
      </c>
      <c r="F104" s="12" t="n">
        <v>50</v>
      </c>
      <c r="G104" s="12" t="s">
        <v>964</v>
      </c>
      <c r="H104" s="12" t="s">
        <v>981</v>
      </c>
      <c r="I104" s="12" t="n">
        <v>0.05</v>
      </c>
      <c r="J104" s="16" t="s">
        <v>2405</v>
      </c>
      <c r="K104" s="15" t="n">
        <v>55000</v>
      </c>
      <c r="L104" s="12" t="n">
        <v>1</v>
      </c>
      <c r="M104" s="12" t="n">
        <f aca="false">IF(COUNTIF(Products!$A:$A,B104)=0,"",IF(INDEX(Products!$G:$G,MATCH(B104,Products!$A:$A,0))="C7010","Hatch_Schedule: "&amp;COUNTIF(Hatch_Schedule!$B:$B,A104)&amp;" dates",COUNTIF(Store_Inventory!$C:$C,A104)))</f>
        <v>4</v>
      </c>
    </row>
    <row r="105" customFormat="false" ht="15" hidden="false" customHeight="false" outlineLevel="0" collapsed="false">
      <c r="A105" s="12" t="s">
        <v>2406</v>
      </c>
      <c r="B105" s="12" t="s">
        <v>1822</v>
      </c>
      <c r="C105" s="12" t="s">
        <v>1823</v>
      </c>
      <c r="D105" s="12" t="s">
        <v>2366</v>
      </c>
      <c r="E105" s="12" t="s">
        <v>2407</v>
      </c>
      <c r="F105" s="12" t="n">
        <v>100</v>
      </c>
      <c r="G105" s="12" t="s">
        <v>964</v>
      </c>
      <c r="H105" s="12" t="s">
        <v>981</v>
      </c>
      <c r="I105" s="12" t="n">
        <v>0.05</v>
      </c>
      <c r="J105" s="16" t="s">
        <v>2408</v>
      </c>
      <c r="K105" s="15" t="n">
        <v>40000</v>
      </c>
      <c r="L105" s="12" t="n">
        <v>1</v>
      </c>
      <c r="M105" s="12" t="n">
        <f aca="false">IF(COUNTIF(Products!$A:$A,B105)=0,"",IF(INDEX(Products!$G:$G,MATCH(B105,Products!$A:$A,0))="C7010","Hatch_Schedule: "&amp;COUNTIF(Hatch_Schedule!$B:$B,A105)&amp;" dates",COUNTIF(Store_Inventory!$C:$C,A105)))</f>
        <v>6</v>
      </c>
    </row>
    <row r="106" customFormat="false" ht="15" hidden="false" customHeight="false" outlineLevel="0" collapsed="false">
      <c r="A106" s="12" t="s">
        <v>2409</v>
      </c>
      <c r="B106" s="12" t="s">
        <v>1828</v>
      </c>
      <c r="C106" s="12" t="s">
        <v>1829</v>
      </c>
      <c r="D106" s="12" t="s">
        <v>2366</v>
      </c>
      <c r="E106" s="12" t="s">
        <v>2410</v>
      </c>
      <c r="F106" s="12" t="n">
        <v>100</v>
      </c>
      <c r="G106" s="12" t="s">
        <v>964</v>
      </c>
      <c r="H106" s="12" t="s">
        <v>981</v>
      </c>
      <c r="I106" s="12" t="n">
        <v>0.05</v>
      </c>
      <c r="J106" s="16" t="s">
        <v>2411</v>
      </c>
      <c r="K106" s="15" t="n">
        <v>30000</v>
      </c>
      <c r="L106" s="12" t="n">
        <v>1</v>
      </c>
      <c r="M106" s="12" t="n">
        <f aca="false">IF(COUNTIF(Products!$A:$A,B106)=0,"",IF(INDEX(Products!$G:$G,MATCH(B106,Products!$A:$A,0))="C7010","Hatch_Schedule: "&amp;COUNTIF(Hatch_Schedule!$B:$B,A106)&amp;" dates",COUNTIF(Store_Inventory!$C:$C,A106)))</f>
        <v>4</v>
      </c>
    </row>
    <row r="107" customFormat="false" ht="15" hidden="false" customHeight="false" outlineLevel="0" collapsed="false">
      <c r="A107" s="12" t="s">
        <v>2412</v>
      </c>
      <c r="B107" s="12" t="s">
        <v>1834</v>
      </c>
      <c r="C107" s="12" t="s">
        <v>1835</v>
      </c>
      <c r="D107" s="12" t="s">
        <v>2245</v>
      </c>
      <c r="E107" s="12" t="s">
        <v>2413</v>
      </c>
      <c r="F107" s="12" t="n">
        <v>1</v>
      </c>
      <c r="G107" s="12" t="s">
        <v>961</v>
      </c>
      <c r="H107" s="12" t="s">
        <v>979</v>
      </c>
      <c r="I107" s="12" t="n">
        <v>1.1</v>
      </c>
      <c r="J107" s="16" t="s">
        <v>2414</v>
      </c>
      <c r="K107" s="15" t="n">
        <v>18000</v>
      </c>
      <c r="L107" s="12" t="n">
        <v>1</v>
      </c>
      <c r="M107" s="12" t="n">
        <f aca="false">IF(COUNTIF(Products!$A:$A,B107)=0,"",IF(INDEX(Products!$G:$G,MATCH(B107,Products!$A:$A,0))="C7010","Hatch_Schedule: "&amp;COUNTIF(Hatch_Schedule!$B:$B,A107)&amp;" dates",COUNTIF(Store_Inventory!$C:$C,A107)))</f>
        <v>6</v>
      </c>
    </row>
    <row r="108" customFormat="false" ht="15" hidden="false" customHeight="false" outlineLevel="0" collapsed="false">
      <c r="A108" s="12" t="s">
        <v>2415</v>
      </c>
      <c r="B108" s="12" t="s">
        <v>1834</v>
      </c>
      <c r="C108" s="12" t="s">
        <v>1835</v>
      </c>
      <c r="D108" s="12" t="s">
        <v>2416</v>
      </c>
      <c r="E108" s="12" t="s">
        <v>2417</v>
      </c>
      <c r="F108" s="12" t="n">
        <v>5</v>
      </c>
      <c r="G108" s="12" t="s">
        <v>961</v>
      </c>
      <c r="H108" s="12" t="s">
        <v>983</v>
      </c>
      <c r="I108" s="12" t="n">
        <v>5.3</v>
      </c>
      <c r="J108" s="16" t="s">
        <v>2418</v>
      </c>
      <c r="K108" s="15" t="n">
        <v>80000</v>
      </c>
      <c r="L108" s="12" t="n">
        <v>1</v>
      </c>
      <c r="M108" s="12" t="n">
        <f aca="false">IF(COUNTIF(Products!$A:$A,B108)=0,"",IF(INDEX(Products!$G:$G,MATCH(B108,Products!$A:$A,0))="C7010","Hatch_Schedule: "&amp;COUNTIF(Hatch_Schedule!$B:$B,A108)&amp;" dates",COUNTIF(Store_Inventory!$C:$C,A108)))</f>
        <v>2</v>
      </c>
    </row>
    <row r="109" customFormat="false" ht="15" hidden="false" customHeight="false" outlineLevel="0" collapsed="false">
      <c r="A109" s="12" t="s">
        <v>2419</v>
      </c>
      <c r="B109" s="12" t="s">
        <v>1842</v>
      </c>
      <c r="C109" s="12" t="s">
        <v>1843</v>
      </c>
      <c r="D109" s="12" t="s">
        <v>2245</v>
      </c>
      <c r="E109" s="12" t="s">
        <v>2420</v>
      </c>
      <c r="F109" s="12" t="n">
        <v>1</v>
      </c>
      <c r="G109" s="12" t="s">
        <v>961</v>
      </c>
      <c r="H109" s="12" t="s">
        <v>979</v>
      </c>
      <c r="I109" s="12" t="n">
        <v>1.1</v>
      </c>
      <c r="J109" s="16" t="s">
        <v>2421</v>
      </c>
      <c r="K109" s="15" t="n">
        <v>25000</v>
      </c>
      <c r="L109" s="12" t="n">
        <v>1</v>
      </c>
      <c r="M109" s="12" t="n">
        <f aca="false">IF(COUNTIF(Products!$A:$A,B109)=0,"",IF(INDEX(Products!$G:$G,MATCH(B109,Products!$A:$A,0))="C7010","Hatch_Schedule: "&amp;COUNTIF(Hatch_Schedule!$B:$B,A109)&amp;" dates",COUNTIF(Store_Inventory!$C:$C,A109)))</f>
        <v>5</v>
      </c>
    </row>
    <row r="110" customFormat="false" ht="15" hidden="false" customHeight="false" outlineLevel="0" collapsed="false">
      <c r="A110" s="12" t="s">
        <v>2422</v>
      </c>
      <c r="B110" s="12" t="s">
        <v>1851</v>
      </c>
      <c r="C110" s="12" t="s">
        <v>1852</v>
      </c>
      <c r="D110" s="12" t="s">
        <v>2423</v>
      </c>
      <c r="E110" s="12" t="s">
        <v>2424</v>
      </c>
      <c r="F110" s="12" t="n">
        <v>100</v>
      </c>
      <c r="G110" s="12" t="s">
        <v>966</v>
      </c>
      <c r="H110" s="12" t="s">
        <v>987</v>
      </c>
      <c r="I110" s="12" t="n">
        <v>0.6</v>
      </c>
      <c r="J110" s="16" t="s">
        <v>2425</v>
      </c>
      <c r="K110" s="15" t="n">
        <v>15000</v>
      </c>
      <c r="L110" s="12" t="n">
        <v>1</v>
      </c>
      <c r="M110" s="12" t="n">
        <f aca="false">IF(COUNTIF(Products!$A:$A,B110)=0,"",IF(INDEX(Products!$G:$G,MATCH(B110,Products!$A:$A,0))="C7010","Hatch_Schedule: "&amp;COUNTIF(Hatch_Schedule!$B:$B,A110)&amp;" dates",COUNTIF(Store_Inventory!$C:$C,A110)))</f>
        <v>5</v>
      </c>
    </row>
    <row r="111" customFormat="false" ht="15" hidden="false" customHeight="false" outlineLevel="0" collapsed="false">
      <c r="A111" s="12" t="s">
        <v>2426</v>
      </c>
      <c r="B111" s="12" t="s">
        <v>1857</v>
      </c>
      <c r="C111" s="12" t="s">
        <v>1858</v>
      </c>
      <c r="D111" s="12" t="s">
        <v>2280</v>
      </c>
      <c r="E111" s="12" t="s">
        <v>2427</v>
      </c>
      <c r="F111" s="12" t="n">
        <v>500</v>
      </c>
      <c r="G111" s="12" t="s">
        <v>952</v>
      </c>
      <c r="H111" s="12" t="s">
        <v>989</v>
      </c>
      <c r="I111" s="12" t="n">
        <v>0.55</v>
      </c>
      <c r="J111" s="16" t="s">
        <v>2428</v>
      </c>
      <c r="K111" s="15" t="n">
        <v>8000</v>
      </c>
      <c r="L111" s="12" t="n">
        <v>1</v>
      </c>
      <c r="M111" s="12" t="n">
        <f aca="false">IF(COUNTIF(Products!$A:$A,B111)=0,"",IF(INDEX(Products!$G:$G,MATCH(B111,Products!$A:$A,0))="C7010","Hatch_Schedule: "&amp;COUNTIF(Hatch_Schedule!$B:$B,A111)&amp;" dates",COUNTIF(Store_Inventory!$C:$C,A111)))</f>
        <v>5</v>
      </c>
    </row>
    <row r="112" customFormat="false" ht="15" hidden="false" customHeight="false" outlineLevel="0" collapsed="false">
      <c r="A112" s="12" t="s">
        <v>2429</v>
      </c>
      <c r="B112" s="12" t="s">
        <v>1865</v>
      </c>
      <c r="C112" s="12" t="s">
        <v>1866</v>
      </c>
      <c r="D112" s="12" t="s">
        <v>2430</v>
      </c>
      <c r="E112" s="12" t="s">
        <v>2431</v>
      </c>
      <c r="F112" s="12" t="n">
        <v>4</v>
      </c>
      <c r="G112" s="12" t="s">
        <v>961</v>
      </c>
      <c r="H112" s="12" t="s">
        <v>985</v>
      </c>
      <c r="I112" s="12" t="n">
        <v>0.5</v>
      </c>
      <c r="J112" s="16" t="s">
        <v>2432</v>
      </c>
      <c r="K112" s="15" t="n">
        <v>5000</v>
      </c>
      <c r="L112" s="12" t="n">
        <v>1</v>
      </c>
      <c r="M112" s="12" t="n">
        <f aca="false">IF(COUNTIF(Products!$A:$A,B112)=0,"",IF(INDEX(Products!$G:$G,MATCH(B112,Products!$A:$A,0))="C7010","Hatch_Schedule: "&amp;COUNTIF(Hatch_Schedule!$B:$B,A112)&amp;" dates",COUNTIF(Store_Inventory!$C:$C,A112)))</f>
        <v>5</v>
      </c>
    </row>
    <row r="113" customFormat="false" ht="15" hidden="false" customHeight="false" outlineLevel="0" collapsed="false">
      <c r="A113" s="12" t="s">
        <v>2433</v>
      </c>
      <c r="B113" s="12" t="s">
        <v>1871</v>
      </c>
      <c r="C113" s="12" t="s">
        <v>1872</v>
      </c>
      <c r="D113" s="12" t="s">
        <v>2434</v>
      </c>
      <c r="E113" s="12" t="s">
        <v>2435</v>
      </c>
      <c r="F113" s="12" t="n">
        <v>10</v>
      </c>
      <c r="G113" s="12" t="s">
        <v>961</v>
      </c>
      <c r="H113" s="12" t="s">
        <v>985</v>
      </c>
      <c r="I113" s="12" t="n">
        <v>0.9</v>
      </c>
      <c r="J113" s="16" t="s">
        <v>2436</v>
      </c>
      <c r="K113" s="15" t="n">
        <v>9000</v>
      </c>
      <c r="L113" s="12" t="n">
        <v>1</v>
      </c>
      <c r="M113" s="12" t="n">
        <f aca="false">IF(COUNTIF(Products!$A:$A,B113)=0,"",IF(INDEX(Products!$G:$G,MATCH(B113,Products!$A:$A,0))="C7010","Hatch_Schedule: "&amp;COUNTIF(Hatch_Schedule!$B:$B,A113)&amp;" dates",COUNTIF(Store_Inventory!$C:$C,A113)))</f>
        <v>3</v>
      </c>
    </row>
    <row r="114" customFormat="false" ht="15" hidden="false" customHeight="false" outlineLevel="0" collapsed="false">
      <c r="A114" s="12" t="s">
        <v>2437</v>
      </c>
      <c r="B114" s="12" t="s">
        <v>1876</v>
      </c>
      <c r="C114" s="12" t="s">
        <v>1877</v>
      </c>
      <c r="D114" s="12" t="s">
        <v>2438</v>
      </c>
      <c r="E114" s="12" t="s">
        <v>2439</v>
      </c>
      <c r="F114" s="12" t="n">
        <v>10</v>
      </c>
      <c r="G114" s="12" t="s">
        <v>955</v>
      </c>
      <c r="H114" s="12" t="s">
        <v>985</v>
      </c>
      <c r="I114" s="12" t="n">
        <v>1.4</v>
      </c>
      <c r="J114" s="16" t="s">
        <v>2440</v>
      </c>
      <c r="K114" s="15" t="n">
        <v>12000</v>
      </c>
      <c r="L114" s="12" t="n">
        <v>1</v>
      </c>
      <c r="M114" s="12" t="n">
        <f aca="false">IF(COUNTIF(Products!$A:$A,B114)=0,"",IF(INDEX(Products!$G:$G,MATCH(B114,Products!$A:$A,0))="C7010","Hatch_Schedule: "&amp;COUNTIF(Hatch_Schedule!$B:$B,A114)&amp;" dates",COUNTIF(Store_Inventory!$C:$C,A114)))</f>
        <v>6</v>
      </c>
    </row>
    <row r="115" customFormat="false" ht="15" hidden="false" customHeight="false" outlineLevel="0" collapsed="false">
      <c r="A115" s="12" t="s">
        <v>2441</v>
      </c>
      <c r="B115" s="12" t="s">
        <v>1881</v>
      </c>
      <c r="C115" s="12" t="s">
        <v>1882</v>
      </c>
      <c r="D115" s="12" t="s">
        <v>2442</v>
      </c>
      <c r="E115" s="12" t="s">
        <v>1882</v>
      </c>
      <c r="F115" s="12" t="n">
        <v>1</v>
      </c>
      <c r="G115" s="12" t="s">
        <v>966</v>
      </c>
      <c r="H115" s="12" t="s">
        <v>985</v>
      </c>
      <c r="I115" s="12" t="n">
        <v>0.3</v>
      </c>
      <c r="J115" s="16" t="s">
        <v>2443</v>
      </c>
      <c r="K115" s="15" t="n">
        <v>3000</v>
      </c>
      <c r="L115" s="12" t="n">
        <v>1</v>
      </c>
      <c r="M115" s="12" t="n">
        <f aca="false">IF(COUNTIF(Products!$A:$A,B115)=0,"",IF(INDEX(Products!$G:$G,MATCH(B115,Products!$A:$A,0))="C7010","Hatch_Schedule: "&amp;COUNTIF(Hatch_Schedule!$B:$B,A115)&amp;" dates",COUNTIF(Store_Inventory!$C:$C,A115)))</f>
        <v>6</v>
      </c>
    </row>
    <row r="116" customFormat="false" ht="15" hidden="false" customHeight="false" outlineLevel="0" collapsed="false">
      <c r="A116" s="12" t="s">
        <v>2444</v>
      </c>
      <c r="B116" s="12" t="s">
        <v>1886</v>
      </c>
      <c r="C116" s="12" t="s">
        <v>1887</v>
      </c>
      <c r="D116" s="12" t="s">
        <v>2445</v>
      </c>
      <c r="E116" s="12" t="s">
        <v>1887</v>
      </c>
      <c r="F116" s="12" t="n">
        <v>1</v>
      </c>
      <c r="G116" s="12" t="s">
        <v>966</v>
      </c>
      <c r="H116" s="12" t="s">
        <v>995</v>
      </c>
      <c r="I116" s="12" t="n">
        <v>3</v>
      </c>
      <c r="J116" s="16" t="s">
        <v>2446</v>
      </c>
      <c r="K116" s="15" t="n">
        <v>35000</v>
      </c>
      <c r="L116" s="12" t="n">
        <v>1</v>
      </c>
      <c r="M116" s="12" t="n">
        <f aca="false">IF(COUNTIF(Products!$A:$A,B116)=0,"",IF(INDEX(Products!$G:$G,MATCH(B116,Products!$A:$A,0))="C7010","Hatch_Schedule: "&amp;COUNTIF(Hatch_Schedule!$B:$B,A116)&amp;" dates",COUNTIF(Store_Inventory!$C:$C,A116)))</f>
        <v>5</v>
      </c>
    </row>
    <row r="117" customFormat="false" ht="15" hidden="false" customHeight="false" outlineLevel="0" collapsed="false">
      <c r="A117" s="12" t="s">
        <v>2447</v>
      </c>
      <c r="B117" s="12" t="s">
        <v>1891</v>
      </c>
      <c r="C117" s="12" t="s">
        <v>1892</v>
      </c>
      <c r="D117" s="12" t="s">
        <v>2442</v>
      </c>
      <c r="E117" s="12" t="s">
        <v>1892</v>
      </c>
      <c r="F117" s="12" t="n">
        <v>1</v>
      </c>
      <c r="G117" s="12" t="s">
        <v>966</v>
      </c>
      <c r="H117" s="12" t="s">
        <v>985</v>
      </c>
      <c r="I117" s="12" t="n">
        <v>4</v>
      </c>
      <c r="J117" s="16" t="s">
        <v>2448</v>
      </c>
      <c r="K117" s="15" t="n">
        <v>25000</v>
      </c>
      <c r="L117" s="12" t="n">
        <v>1</v>
      </c>
      <c r="M117" s="12" t="n">
        <f aca="false">IF(COUNTIF(Products!$A:$A,B117)=0,"",IF(INDEX(Products!$G:$G,MATCH(B117,Products!$A:$A,0))="C7010","Hatch_Schedule: "&amp;COUNTIF(Hatch_Schedule!$B:$B,A117)&amp;" dates",COUNTIF(Store_Inventory!$C:$C,A117)))</f>
        <v>5</v>
      </c>
    </row>
    <row r="118" customFormat="false" ht="15" hidden="false" customHeight="false" outlineLevel="0" collapsed="false">
      <c r="A118" s="12" t="s">
        <v>2449</v>
      </c>
      <c r="B118" s="12" t="s">
        <v>1896</v>
      </c>
      <c r="C118" s="12" t="s">
        <v>1897</v>
      </c>
      <c r="D118" s="12" t="s">
        <v>2442</v>
      </c>
      <c r="E118" s="12" t="s">
        <v>1897</v>
      </c>
      <c r="F118" s="12" t="n">
        <v>1</v>
      </c>
      <c r="G118" s="12" t="s">
        <v>966</v>
      </c>
      <c r="H118" s="12" t="s">
        <v>985</v>
      </c>
      <c r="I118" s="12" t="n">
        <v>0.3</v>
      </c>
      <c r="J118" s="16" t="s">
        <v>2450</v>
      </c>
      <c r="K118" s="15" t="n">
        <v>18000</v>
      </c>
      <c r="L118" s="12" t="n">
        <v>1</v>
      </c>
      <c r="M118" s="12" t="n">
        <f aca="false">IF(COUNTIF(Products!$A:$A,B118)=0,"",IF(INDEX(Products!$G:$G,MATCH(B118,Products!$A:$A,0))="C7010","Hatch_Schedule: "&amp;COUNTIF(Hatch_Schedule!$B:$B,A118)&amp;" dates",COUNTIF(Store_Inventory!$C:$C,A118)))</f>
        <v>6</v>
      </c>
    </row>
    <row r="119" customFormat="false" ht="15" hidden="false" customHeight="false" outlineLevel="0" collapsed="false">
      <c r="A119" s="12" t="s">
        <v>2451</v>
      </c>
      <c r="B119" s="12" t="s">
        <v>1902</v>
      </c>
      <c r="C119" s="12" t="s">
        <v>1903</v>
      </c>
      <c r="D119" s="12" t="s">
        <v>2442</v>
      </c>
      <c r="E119" s="12" t="s">
        <v>1903</v>
      </c>
      <c r="F119" s="12" t="n">
        <v>1</v>
      </c>
      <c r="G119" s="12" t="s">
        <v>966</v>
      </c>
      <c r="H119" s="12" t="s">
        <v>985</v>
      </c>
      <c r="I119" s="12" t="n">
        <v>6</v>
      </c>
      <c r="J119" s="16" t="s">
        <v>2452</v>
      </c>
      <c r="K119" s="15" t="n">
        <v>35000</v>
      </c>
      <c r="L119" s="12" t="n">
        <v>1</v>
      </c>
      <c r="M119" s="12" t="n">
        <f aca="false">IF(COUNTIF(Products!$A:$A,B119)=0,"",IF(INDEX(Products!$G:$G,MATCH(B119,Products!$A:$A,0))="C7010","Hatch_Schedule: "&amp;COUNTIF(Hatch_Schedule!$B:$B,A119)&amp;" dates",COUNTIF(Store_Inventory!$C:$C,A119)))</f>
        <v>6</v>
      </c>
    </row>
    <row r="120" customFormat="false" ht="15" hidden="false" customHeight="false" outlineLevel="0" collapsed="false">
      <c r="A120" s="12" t="s">
        <v>2453</v>
      </c>
      <c r="B120" s="12" t="s">
        <v>1907</v>
      </c>
      <c r="C120" s="12" t="s">
        <v>1908</v>
      </c>
      <c r="D120" s="12" t="s">
        <v>2445</v>
      </c>
      <c r="E120" s="12" t="s">
        <v>1908</v>
      </c>
      <c r="F120" s="12" t="n">
        <v>1</v>
      </c>
      <c r="G120" s="12" t="s">
        <v>966</v>
      </c>
      <c r="H120" s="12" t="s">
        <v>995</v>
      </c>
      <c r="I120" s="12" t="n">
        <v>85</v>
      </c>
      <c r="J120" s="16" t="s">
        <v>2454</v>
      </c>
      <c r="K120" s="15" t="n">
        <v>650000</v>
      </c>
      <c r="L120" s="12" t="n">
        <v>1</v>
      </c>
      <c r="M120" s="12" t="n">
        <f aca="false">IF(COUNTIF(Products!$A:$A,B120)=0,"",IF(INDEX(Products!$G:$G,MATCH(B120,Products!$A:$A,0))="C7010","Hatch_Schedule: "&amp;COUNTIF(Hatch_Schedule!$B:$B,A120)&amp;" dates",COUNTIF(Store_Inventory!$C:$C,A120)))</f>
        <v>5</v>
      </c>
    </row>
    <row r="121" customFormat="false" ht="15" hidden="false" customHeight="false" outlineLevel="0" collapsed="false">
      <c r="A121" s="12" t="s">
        <v>2455</v>
      </c>
      <c r="B121" s="12" t="s">
        <v>1913</v>
      </c>
      <c r="C121" s="12" t="s">
        <v>1914</v>
      </c>
      <c r="D121" s="12" t="s">
        <v>2442</v>
      </c>
      <c r="E121" s="12" t="s">
        <v>1914</v>
      </c>
      <c r="F121" s="12" t="n">
        <v>1</v>
      </c>
      <c r="G121" s="12" t="s">
        <v>966</v>
      </c>
      <c r="H121" s="12" t="s">
        <v>985</v>
      </c>
      <c r="I121" s="12" t="n">
        <v>25</v>
      </c>
      <c r="J121" s="16" t="s">
        <v>2456</v>
      </c>
      <c r="K121" s="15" t="n">
        <v>180000</v>
      </c>
      <c r="L121" s="12" t="n">
        <v>1</v>
      </c>
      <c r="M121" s="12" t="n">
        <f aca="false">IF(COUNTIF(Products!$A:$A,B121)=0,"",IF(INDEX(Products!$G:$G,MATCH(B121,Products!$A:$A,0))="C7010","Hatch_Schedule: "&amp;COUNTIF(Hatch_Schedule!$B:$B,A121)&amp;" dates",COUNTIF(Store_Inventory!$C:$C,A121)))</f>
        <v>5</v>
      </c>
    </row>
    <row r="122" customFormat="false" ht="15" hidden="false" customHeight="false" outlineLevel="0" collapsed="false">
      <c r="A122" s="12" t="s">
        <v>2457</v>
      </c>
      <c r="B122" s="12" t="s">
        <v>1918</v>
      </c>
      <c r="C122" s="12" t="s">
        <v>1919</v>
      </c>
      <c r="D122" s="12" t="s">
        <v>2442</v>
      </c>
      <c r="E122" s="12" t="s">
        <v>1919</v>
      </c>
      <c r="F122" s="12" t="n">
        <v>1</v>
      </c>
      <c r="G122" s="12" t="s">
        <v>966</v>
      </c>
      <c r="H122" s="12" t="s">
        <v>985</v>
      </c>
      <c r="I122" s="12" t="n">
        <v>7</v>
      </c>
      <c r="J122" s="16" t="s">
        <v>2458</v>
      </c>
      <c r="K122" s="15" t="n">
        <v>380000</v>
      </c>
      <c r="L122" s="12" t="n">
        <v>1</v>
      </c>
      <c r="M122" s="12" t="n">
        <f aca="false">IF(COUNTIF(Products!$A:$A,B122)=0,"",IF(INDEX(Products!$G:$G,MATCH(B122,Products!$A:$A,0))="C7010","Hatch_Schedule: "&amp;COUNTIF(Hatch_Schedule!$B:$B,A122)&amp;" dates",COUNTIF(Store_Inventory!$C:$C,A122)))</f>
        <v>5</v>
      </c>
    </row>
    <row r="123" customFormat="false" ht="15" hidden="false" customHeight="false" outlineLevel="0" collapsed="false">
      <c r="A123" s="12" t="s">
        <v>2459</v>
      </c>
      <c r="B123" s="12" t="s">
        <v>1924</v>
      </c>
      <c r="C123" s="12" t="s">
        <v>1925</v>
      </c>
      <c r="D123" s="12" t="s">
        <v>2442</v>
      </c>
      <c r="E123" s="12" t="s">
        <v>1925</v>
      </c>
      <c r="F123" s="12" t="n">
        <v>1</v>
      </c>
      <c r="G123" s="12" t="s">
        <v>966</v>
      </c>
      <c r="H123" s="12" t="s">
        <v>985</v>
      </c>
      <c r="I123" s="12" t="n">
        <v>45</v>
      </c>
      <c r="J123" s="16" t="s">
        <v>2460</v>
      </c>
      <c r="K123" s="15" t="n">
        <v>1950000</v>
      </c>
      <c r="L123" s="12" t="n">
        <v>1</v>
      </c>
      <c r="M123" s="12" t="n">
        <f aca="false">IF(COUNTIF(Products!$A:$A,B123)=0,"",IF(INDEX(Products!$G:$G,MATCH(B123,Products!$A:$A,0))="C7010","Hatch_Schedule: "&amp;COUNTIF(Hatch_Schedule!$B:$B,A123)&amp;" dates",COUNTIF(Store_Inventory!$C:$C,A123)))</f>
        <v>4</v>
      </c>
    </row>
    <row r="124" customFormat="false" ht="15" hidden="false" customHeight="false" outlineLevel="0" collapsed="false">
      <c r="A124" s="12" t="s">
        <v>2461</v>
      </c>
      <c r="B124" s="12" t="s">
        <v>1928</v>
      </c>
      <c r="C124" s="12" t="s">
        <v>1929</v>
      </c>
      <c r="D124" s="12" t="s">
        <v>2462</v>
      </c>
      <c r="E124" s="12" t="s">
        <v>2463</v>
      </c>
      <c r="F124" s="12" t="n">
        <v>100</v>
      </c>
      <c r="G124" s="12" t="s">
        <v>966</v>
      </c>
      <c r="H124" s="12" t="s">
        <v>989</v>
      </c>
      <c r="I124" s="12" t="n">
        <v>6</v>
      </c>
      <c r="J124" s="16" t="s">
        <v>2464</v>
      </c>
      <c r="K124" s="15" t="n">
        <v>35000</v>
      </c>
      <c r="L124" s="12" t="n">
        <v>1</v>
      </c>
      <c r="M124" s="12" t="n">
        <f aca="false">IF(COUNTIF(Products!$A:$A,B124)=0,"",IF(INDEX(Products!$G:$G,MATCH(B124,Products!$A:$A,0))="C7010","Hatch_Schedule: "&amp;COUNTIF(Hatch_Schedule!$B:$B,A124)&amp;" dates",COUNTIF(Store_Inventory!$C:$C,A124)))</f>
        <v>5</v>
      </c>
    </row>
    <row r="125" customFormat="false" ht="15" hidden="false" customHeight="false" outlineLevel="0" collapsed="false">
      <c r="A125" s="12" t="s">
        <v>2465</v>
      </c>
      <c r="B125" s="12" t="s">
        <v>1934</v>
      </c>
      <c r="C125" s="12" t="s">
        <v>1935</v>
      </c>
      <c r="D125" s="12" t="s">
        <v>2442</v>
      </c>
      <c r="E125" s="12" t="s">
        <v>1935</v>
      </c>
      <c r="F125" s="12" t="n">
        <v>1</v>
      </c>
      <c r="G125" s="12" t="s">
        <v>966</v>
      </c>
      <c r="H125" s="12" t="s">
        <v>985</v>
      </c>
      <c r="I125" s="12" t="n">
        <v>0.4</v>
      </c>
      <c r="J125" s="16" t="s">
        <v>2466</v>
      </c>
      <c r="K125" s="15" t="n">
        <v>45000</v>
      </c>
      <c r="L125" s="12" t="n">
        <v>1</v>
      </c>
      <c r="M125" s="12" t="n">
        <f aca="false">IF(COUNTIF(Products!$A:$A,B125)=0,"",IF(INDEX(Products!$G:$G,MATCH(B125,Products!$A:$A,0))="C7010","Hatch_Schedule: "&amp;COUNTIF(Hatch_Schedule!$B:$B,A125)&amp;" dates",COUNTIF(Store_Inventory!$C:$C,A125)))</f>
        <v>4</v>
      </c>
    </row>
    <row r="126" customFormat="false" ht="15" hidden="false" customHeight="false" outlineLevel="0" collapsed="false">
      <c r="A126" s="12" t="s">
        <v>2467</v>
      </c>
      <c r="B126" s="12" t="s">
        <v>1940</v>
      </c>
      <c r="C126" s="12" t="s">
        <v>1941</v>
      </c>
      <c r="D126" s="12" t="s">
        <v>2423</v>
      </c>
      <c r="E126" s="12" t="s">
        <v>2468</v>
      </c>
      <c r="F126" s="12" t="n">
        <v>100</v>
      </c>
      <c r="G126" s="12" t="s">
        <v>966</v>
      </c>
      <c r="H126" s="12" t="s">
        <v>987</v>
      </c>
      <c r="I126" s="12" t="n">
        <v>0.9</v>
      </c>
      <c r="J126" s="16" t="s">
        <v>2469</v>
      </c>
      <c r="K126" s="15" t="n">
        <v>25000</v>
      </c>
      <c r="L126" s="12" t="n">
        <v>1</v>
      </c>
      <c r="M126" s="12" t="n">
        <f aca="false">IF(COUNTIF(Products!$A:$A,B126)=0,"",IF(INDEX(Products!$G:$G,MATCH(B126,Products!$A:$A,0))="C7010","Hatch_Schedule: "&amp;COUNTIF(Hatch_Schedule!$B:$B,A126)&amp;" dates",COUNTIF(Store_Inventory!$C:$C,A126)))</f>
        <v>6</v>
      </c>
    </row>
    <row r="127" customFormat="false" ht="15" hidden="false" customHeight="false" outlineLevel="0" collapsed="false">
      <c r="A127" s="12" t="s">
        <v>2470</v>
      </c>
      <c r="B127" s="12" t="s">
        <v>1944</v>
      </c>
      <c r="C127" s="12" t="s">
        <v>1945</v>
      </c>
      <c r="D127" s="12" t="s">
        <v>2442</v>
      </c>
      <c r="E127" s="12" t="s">
        <v>1945</v>
      </c>
      <c r="F127" s="12" t="n">
        <v>1</v>
      </c>
      <c r="G127" s="12" t="s">
        <v>966</v>
      </c>
      <c r="H127" s="12" t="s">
        <v>985</v>
      </c>
      <c r="I127" s="12" t="n">
        <v>0.5</v>
      </c>
      <c r="J127" s="16" t="s">
        <v>2471</v>
      </c>
      <c r="K127" s="15" t="n">
        <v>55000</v>
      </c>
      <c r="L127" s="12" t="n">
        <v>1</v>
      </c>
      <c r="M127" s="12" t="n">
        <f aca="false">IF(COUNTIF(Products!$A:$A,B127)=0,"",IF(INDEX(Products!$G:$G,MATCH(B127,Products!$A:$A,0))="C7010","Hatch_Schedule: "&amp;COUNTIF(Hatch_Schedule!$B:$B,A127)&amp;" dates",COUNTIF(Store_Inventory!$C:$C,A127)))</f>
        <v>5</v>
      </c>
    </row>
    <row r="128" customFormat="false" ht="15" hidden="false" customHeight="false" outlineLevel="0" collapsed="false">
      <c r="A128" s="12" t="s">
        <v>2472</v>
      </c>
      <c r="B128" s="12" t="s">
        <v>1949</v>
      </c>
      <c r="C128" s="12" t="s">
        <v>1950</v>
      </c>
      <c r="D128" s="12" t="s">
        <v>2442</v>
      </c>
      <c r="E128" s="12" t="s">
        <v>1950</v>
      </c>
      <c r="F128" s="12" t="n">
        <v>1</v>
      </c>
      <c r="G128" s="12" t="s">
        <v>966</v>
      </c>
      <c r="H128" s="12" t="s">
        <v>985</v>
      </c>
      <c r="I128" s="12" t="n">
        <v>0.1</v>
      </c>
      <c r="J128" s="16" t="s">
        <v>2473</v>
      </c>
      <c r="K128" s="15" t="n">
        <v>15000</v>
      </c>
      <c r="L128" s="12" t="n">
        <v>1</v>
      </c>
      <c r="M128" s="12" t="n">
        <f aca="false">IF(COUNTIF(Products!$A:$A,B128)=0,"",IF(INDEX(Products!$G:$G,MATCH(B128,Products!$A:$A,0))="C7010","Hatch_Schedule: "&amp;COUNTIF(Hatch_Schedule!$B:$B,A128)&amp;" dates",COUNTIF(Store_Inventory!$C:$C,A128)))</f>
        <v>5</v>
      </c>
    </row>
    <row r="129" customFormat="false" ht="15" hidden="false" customHeight="false" outlineLevel="0" collapsed="false">
      <c r="A129" s="12" t="s">
        <v>2474</v>
      </c>
      <c r="B129" s="12" t="s">
        <v>1954</v>
      </c>
      <c r="C129" s="12" t="s">
        <v>1955</v>
      </c>
      <c r="D129" s="12" t="s">
        <v>2475</v>
      </c>
      <c r="E129" s="12" t="s">
        <v>2476</v>
      </c>
      <c r="F129" s="12" t="n">
        <v>20</v>
      </c>
      <c r="G129" s="12" t="s">
        <v>961</v>
      </c>
      <c r="H129" s="12" t="s">
        <v>985</v>
      </c>
      <c r="I129" s="12" t="n">
        <v>5</v>
      </c>
      <c r="J129" s="16" t="s">
        <v>2477</v>
      </c>
      <c r="K129" s="15" t="n">
        <v>150000</v>
      </c>
      <c r="L129" s="12" t="n">
        <v>1</v>
      </c>
      <c r="M129" s="12" t="n">
        <f aca="false">IF(COUNTIF(Products!$A:$A,B129)=0,"",IF(INDEX(Products!$G:$G,MATCH(B129,Products!$A:$A,0))="C7010","Hatch_Schedule: "&amp;COUNTIF(Hatch_Schedule!$B:$B,A129)&amp;" dates",COUNTIF(Store_Inventory!$C:$C,A129)))</f>
        <v>2</v>
      </c>
    </row>
    <row r="130" customFormat="false" ht="15" hidden="false" customHeight="false" outlineLevel="0" collapsed="false">
      <c r="A130" s="12" t="s">
        <v>2478</v>
      </c>
      <c r="B130" s="12" t="s">
        <v>1960</v>
      </c>
      <c r="C130" s="12" t="s">
        <v>1961</v>
      </c>
      <c r="D130" s="12" t="s">
        <v>2442</v>
      </c>
      <c r="E130" s="12" t="s">
        <v>1961</v>
      </c>
      <c r="F130" s="12" t="n">
        <v>1</v>
      </c>
      <c r="G130" s="12" t="s">
        <v>966</v>
      </c>
      <c r="H130" s="12" t="s">
        <v>985</v>
      </c>
      <c r="I130" s="12" t="n">
        <v>0.8</v>
      </c>
      <c r="J130" s="16" t="s">
        <v>2479</v>
      </c>
      <c r="K130" s="15" t="n">
        <v>35000</v>
      </c>
      <c r="L130" s="12" t="n">
        <v>1</v>
      </c>
      <c r="M130" s="12" t="n">
        <f aca="false">IF(COUNTIF(Products!$A:$A,B130)=0,"",IF(INDEX(Products!$G:$G,MATCH(B130,Products!$A:$A,0))="C7010","Hatch_Schedule: "&amp;COUNTIF(Hatch_Schedule!$B:$B,A130)&amp;" dates",COUNTIF(Store_Inventory!$C:$C,A130)))</f>
        <v>4</v>
      </c>
    </row>
    <row r="131" customFormat="false" ht="15" hidden="false" customHeight="false" outlineLevel="0" collapsed="false">
      <c r="A131" s="12" t="s">
        <v>2480</v>
      </c>
      <c r="B131" s="12" t="s">
        <v>1967</v>
      </c>
      <c r="C131" s="12" t="s">
        <v>1968</v>
      </c>
      <c r="D131" s="12" t="s">
        <v>2481</v>
      </c>
      <c r="E131" s="12" t="s">
        <v>2482</v>
      </c>
      <c r="F131" s="12" t="n">
        <v>1</v>
      </c>
      <c r="G131" s="12" t="s">
        <v>969</v>
      </c>
      <c r="H131" s="12" t="s">
        <v>992</v>
      </c>
      <c r="I131" s="12" t="n">
        <v>0.05</v>
      </c>
      <c r="J131" s="16" t="s">
        <v>2483</v>
      </c>
      <c r="K131" s="15" t="n">
        <v>2100</v>
      </c>
      <c r="L131" s="12" t="n">
        <v>50</v>
      </c>
      <c r="M131" s="12" t="str">
        <f aca="false">IF(COUNTIF(Products!$A:$A,B131)=0,"",IF(INDEX(Products!$G:$G,MATCH(B131,Products!$A:$A,0))="C7010","Hatch_Schedule: "&amp;COUNTIF(Hatch_Schedule!$B:$B,A131)&amp;" dates",COUNTIF(Store_Inventory!$C:$C,A131)))</f>
        <v>Hatch_Schedule: 5 dates</v>
      </c>
    </row>
    <row r="132" customFormat="false" ht="15" hidden="false" customHeight="false" outlineLevel="0" collapsed="false">
      <c r="A132" s="12" t="s">
        <v>2484</v>
      </c>
      <c r="B132" s="12" t="s">
        <v>1974</v>
      </c>
      <c r="C132" s="12" t="s">
        <v>1975</v>
      </c>
      <c r="D132" s="12" t="s">
        <v>2481</v>
      </c>
      <c r="E132" s="12" t="s">
        <v>2485</v>
      </c>
      <c r="F132" s="12" t="n">
        <v>1</v>
      </c>
      <c r="G132" s="12" t="s">
        <v>969</v>
      </c>
      <c r="H132" s="12" t="s">
        <v>992</v>
      </c>
      <c r="I132" s="12" t="n">
        <v>0.05</v>
      </c>
      <c r="J132" s="16" t="s">
        <v>2486</v>
      </c>
      <c r="K132" s="15" t="n">
        <v>2000</v>
      </c>
      <c r="L132" s="12" t="n">
        <v>50</v>
      </c>
      <c r="M132" s="12" t="str">
        <f aca="false">IF(COUNTIF(Products!$A:$A,B132)=0,"",IF(INDEX(Products!$G:$G,MATCH(B132,Products!$A:$A,0))="C7010","Hatch_Schedule: "&amp;COUNTIF(Hatch_Schedule!$B:$B,A132)&amp;" dates",COUNTIF(Store_Inventory!$C:$C,A132)))</f>
        <v>Hatch_Schedule: 6 dates</v>
      </c>
    </row>
    <row r="133" customFormat="false" ht="15" hidden="false" customHeight="false" outlineLevel="0" collapsed="false">
      <c r="A133" s="12" t="s">
        <v>2487</v>
      </c>
      <c r="B133" s="12" t="s">
        <v>1978</v>
      </c>
      <c r="C133" s="12" t="s">
        <v>1979</v>
      </c>
      <c r="D133" s="12" t="s">
        <v>2481</v>
      </c>
      <c r="E133" s="12" t="s">
        <v>2488</v>
      </c>
      <c r="F133" s="12" t="n">
        <v>1</v>
      </c>
      <c r="G133" s="12" t="s">
        <v>969</v>
      </c>
      <c r="H133" s="12" t="s">
        <v>992</v>
      </c>
      <c r="I133" s="12" t="n">
        <v>0.05</v>
      </c>
      <c r="J133" s="16" t="s">
        <v>2489</v>
      </c>
      <c r="K133" s="15" t="n">
        <v>1950</v>
      </c>
      <c r="L133" s="12" t="n">
        <v>50</v>
      </c>
      <c r="M133" s="12" t="str">
        <f aca="false">IF(COUNTIF(Products!$A:$A,B133)=0,"",IF(INDEX(Products!$G:$G,MATCH(B133,Products!$A:$A,0))="C7010","Hatch_Schedule: "&amp;COUNTIF(Hatch_Schedule!$B:$B,A133)&amp;" dates",COUNTIF(Store_Inventory!$C:$C,A133)))</f>
        <v>Hatch_Schedule: 5 dates</v>
      </c>
    </row>
    <row r="134" customFormat="false" ht="15" hidden="false" customHeight="false" outlineLevel="0" collapsed="false">
      <c r="A134" s="12" t="s">
        <v>2490</v>
      </c>
      <c r="B134" s="12" t="s">
        <v>1982</v>
      </c>
      <c r="C134" s="12" t="s">
        <v>1983</v>
      </c>
      <c r="D134" s="12" t="s">
        <v>2481</v>
      </c>
      <c r="E134" s="12" t="s">
        <v>2491</v>
      </c>
      <c r="F134" s="12" t="n">
        <v>1</v>
      </c>
      <c r="G134" s="12" t="s">
        <v>969</v>
      </c>
      <c r="H134" s="12" t="s">
        <v>992</v>
      </c>
      <c r="I134" s="12" t="n">
        <v>0.05</v>
      </c>
      <c r="J134" s="16" t="s">
        <v>2492</v>
      </c>
      <c r="K134" s="15" t="n">
        <v>2150</v>
      </c>
      <c r="L134" s="12" t="n">
        <v>50</v>
      </c>
      <c r="M134" s="12" t="str">
        <f aca="false">IF(COUNTIF(Products!$A:$A,B134)=0,"",IF(INDEX(Products!$G:$G,MATCH(B134,Products!$A:$A,0))="C7010","Hatch_Schedule: "&amp;COUNTIF(Hatch_Schedule!$B:$B,A134)&amp;" dates",COUNTIF(Store_Inventory!$C:$C,A134)))</f>
        <v>Hatch_Schedule: 5 dates</v>
      </c>
    </row>
    <row r="135" customFormat="false" ht="15" hidden="false" customHeight="false" outlineLevel="0" collapsed="false">
      <c r="A135" s="12" t="s">
        <v>2493</v>
      </c>
      <c r="B135" s="12" t="s">
        <v>1986</v>
      </c>
      <c r="C135" s="12" t="s">
        <v>1987</v>
      </c>
      <c r="D135" s="12" t="s">
        <v>2481</v>
      </c>
      <c r="E135" s="12" t="s">
        <v>2494</v>
      </c>
      <c r="F135" s="12" t="n">
        <v>1</v>
      </c>
      <c r="G135" s="12" t="s">
        <v>969</v>
      </c>
      <c r="H135" s="12" t="s">
        <v>992</v>
      </c>
      <c r="I135" s="12" t="n">
        <v>0.05</v>
      </c>
      <c r="J135" s="16" t="s">
        <v>2495</v>
      </c>
      <c r="K135" s="15" t="n">
        <v>2200</v>
      </c>
      <c r="L135" s="12" t="n">
        <v>50</v>
      </c>
      <c r="M135" s="12" t="str">
        <f aca="false">IF(COUNTIF(Products!$A:$A,B135)=0,"",IF(INDEX(Products!$G:$G,MATCH(B135,Products!$A:$A,0))="C7010","Hatch_Schedule: "&amp;COUNTIF(Hatch_Schedule!$B:$B,A135)&amp;" dates",COUNTIF(Store_Inventory!$C:$C,A135)))</f>
        <v>Hatch_Schedule: 5 dates</v>
      </c>
    </row>
    <row r="136" customFormat="false" ht="15" hidden="false" customHeight="false" outlineLevel="0" collapsed="false">
      <c r="A136" s="12" t="s">
        <v>2496</v>
      </c>
      <c r="B136" s="12" t="s">
        <v>1990</v>
      </c>
      <c r="C136" s="12" t="s">
        <v>1991</v>
      </c>
      <c r="D136" s="12" t="s">
        <v>2481</v>
      </c>
      <c r="E136" s="12" t="s">
        <v>2497</v>
      </c>
      <c r="F136" s="12" t="n">
        <v>1</v>
      </c>
      <c r="G136" s="12" t="s">
        <v>969</v>
      </c>
      <c r="H136" s="12" t="s">
        <v>992</v>
      </c>
      <c r="I136" s="12" t="n">
        <v>0.05</v>
      </c>
      <c r="J136" s="16" t="s">
        <v>2498</v>
      </c>
      <c r="K136" s="15" t="n">
        <v>2050</v>
      </c>
      <c r="L136" s="12" t="n">
        <v>50</v>
      </c>
      <c r="M136" s="12" t="str">
        <f aca="false">IF(COUNTIF(Products!$A:$A,B136)=0,"",IF(INDEX(Products!$G:$G,MATCH(B136,Products!$A:$A,0))="C7010","Hatch_Schedule: "&amp;COUNTIF(Hatch_Schedule!$B:$B,A136)&amp;" dates",COUNTIF(Store_Inventory!$C:$C,A136)))</f>
        <v>Hatch_Schedule: 5 dates</v>
      </c>
    </row>
    <row r="137" customFormat="false" ht="15" hidden="false" customHeight="false" outlineLevel="0" collapsed="false">
      <c r="A137" s="12" t="s">
        <v>2499</v>
      </c>
      <c r="B137" s="12" t="s">
        <v>1994</v>
      </c>
      <c r="C137" s="12" t="s">
        <v>1995</v>
      </c>
      <c r="D137" s="12" t="s">
        <v>2481</v>
      </c>
      <c r="E137" s="12" t="s">
        <v>2500</v>
      </c>
      <c r="F137" s="12" t="n">
        <v>1</v>
      </c>
      <c r="G137" s="12" t="s">
        <v>969</v>
      </c>
      <c r="H137" s="12" t="s">
        <v>992</v>
      </c>
      <c r="I137" s="12" t="n">
        <v>0.05</v>
      </c>
      <c r="J137" s="16" t="s">
        <v>2501</v>
      </c>
      <c r="K137" s="15" t="n">
        <v>2000</v>
      </c>
      <c r="L137" s="12" t="n">
        <v>50</v>
      </c>
      <c r="M137" s="12" t="str">
        <f aca="false">IF(COUNTIF(Products!$A:$A,B137)=0,"",IF(INDEX(Products!$G:$G,MATCH(B137,Products!$A:$A,0))="C7010","Hatch_Schedule: "&amp;COUNTIF(Hatch_Schedule!$B:$B,A137)&amp;" dates",COUNTIF(Store_Inventory!$C:$C,A137)))</f>
        <v>Hatch_Schedule: 5 dates</v>
      </c>
    </row>
    <row r="138" customFormat="false" ht="15" hidden="false" customHeight="false" outlineLevel="0" collapsed="false">
      <c r="A138" s="12" t="s">
        <v>2502</v>
      </c>
      <c r="B138" s="12" t="s">
        <v>1998</v>
      </c>
      <c r="C138" s="12" t="s">
        <v>1999</v>
      </c>
      <c r="D138" s="12" t="s">
        <v>2481</v>
      </c>
      <c r="E138" s="12" t="s">
        <v>2503</v>
      </c>
      <c r="F138" s="12" t="n">
        <v>1</v>
      </c>
      <c r="G138" s="12" t="s">
        <v>969</v>
      </c>
      <c r="H138" s="12" t="s">
        <v>992</v>
      </c>
      <c r="I138" s="12" t="n">
        <v>0.05</v>
      </c>
      <c r="J138" s="16" t="s">
        <v>2504</v>
      </c>
      <c r="K138" s="15" t="n">
        <v>2100</v>
      </c>
      <c r="L138" s="12" t="n">
        <v>50</v>
      </c>
      <c r="M138" s="12" t="str">
        <f aca="false">IF(COUNTIF(Products!$A:$A,B138)=0,"",IF(INDEX(Products!$G:$G,MATCH(B138,Products!$A:$A,0))="C7010","Hatch_Schedule: "&amp;COUNTIF(Hatch_Schedule!$B:$B,A138)&amp;" dates",COUNTIF(Store_Inventory!$C:$C,A138)))</f>
        <v>Hatch_Schedule: 5 dates</v>
      </c>
    </row>
    <row r="139" customFormat="false" ht="15" hidden="false" customHeight="false" outlineLevel="0" collapsed="false">
      <c r="A139" s="12" t="s">
        <v>2505</v>
      </c>
      <c r="B139" s="12" t="s">
        <v>2002</v>
      </c>
      <c r="C139" s="12" t="s">
        <v>2003</v>
      </c>
      <c r="D139" s="12" t="s">
        <v>2481</v>
      </c>
      <c r="E139" s="12" t="s">
        <v>2506</v>
      </c>
      <c r="F139" s="12" t="n">
        <v>1</v>
      </c>
      <c r="G139" s="12" t="s">
        <v>969</v>
      </c>
      <c r="H139" s="12" t="s">
        <v>992</v>
      </c>
      <c r="I139" s="12" t="n">
        <v>0.05</v>
      </c>
      <c r="J139" s="16" t="s">
        <v>2507</v>
      </c>
      <c r="K139" s="15" t="n">
        <v>3000</v>
      </c>
      <c r="L139" s="12" t="n">
        <v>50</v>
      </c>
      <c r="M139" s="12" t="str">
        <f aca="false">IF(COUNTIF(Products!$A:$A,B139)=0,"",IF(INDEX(Products!$G:$G,MATCH(B139,Products!$A:$A,0))="C7010","Hatch_Schedule: "&amp;COUNTIF(Hatch_Schedule!$B:$B,A139)&amp;" dates",COUNTIF(Store_Inventory!$C:$C,A139)))</f>
        <v>Hatch_Schedule: 5 dates</v>
      </c>
    </row>
    <row r="140" customFormat="false" ht="15" hidden="false" customHeight="false" outlineLevel="0" collapsed="false">
      <c r="A140" s="12" t="s">
        <v>2508</v>
      </c>
      <c r="B140" s="12" t="s">
        <v>2007</v>
      </c>
      <c r="C140" s="12" t="s">
        <v>2008</v>
      </c>
      <c r="D140" s="12" t="s">
        <v>2481</v>
      </c>
      <c r="E140" s="12" t="s">
        <v>2509</v>
      </c>
      <c r="F140" s="12" t="n">
        <v>1</v>
      </c>
      <c r="G140" s="12" t="s">
        <v>969</v>
      </c>
      <c r="H140" s="12" t="s">
        <v>992</v>
      </c>
      <c r="I140" s="12" t="n">
        <v>0.05</v>
      </c>
      <c r="J140" s="16" t="s">
        <v>2510</v>
      </c>
      <c r="K140" s="15" t="n">
        <v>2050</v>
      </c>
      <c r="L140" s="12" t="n">
        <v>50</v>
      </c>
      <c r="M140" s="12" t="str">
        <f aca="false">IF(COUNTIF(Products!$A:$A,B140)=0,"",IF(INDEX(Products!$G:$G,MATCH(B140,Products!$A:$A,0))="C7010","Hatch_Schedule: "&amp;COUNTIF(Hatch_Schedule!$B:$B,A140)&amp;" dates",COUNTIF(Store_Inventory!$C:$C,A140)))</f>
        <v>Hatch_Schedule: 5 dates</v>
      </c>
    </row>
    <row r="141" customFormat="false" ht="15" hidden="false" customHeight="false" outlineLevel="0" collapsed="false">
      <c r="A141" s="12" t="s">
        <v>2511</v>
      </c>
      <c r="B141" s="12" t="s">
        <v>2011</v>
      </c>
      <c r="C141" s="12" t="s">
        <v>2012</v>
      </c>
      <c r="D141" s="12" t="s">
        <v>2481</v>
      </c>
      <c r="E141" s="12" t="s">
        <v>2512</v>
      </c>
      <c r="F141" s="12" t="n">
        <v>1</v>
      </c>
      <c r="G141" s="12" t="s">
        <v>969</v>
      </c>
      <c r="H141" s="12" t="s">
        <v>992</v>
      </c>
      <c r="I141" s="12" t="n">
        <v>0.05</v>
      </c>
      <c r="J141" s="16" t="s">
        <v>2513</v>
      </c>
      <c r="K141" s="15" t="n">
        <v>2950</v>
      </c>
      <c r="L141" s="12" t="n">
        <v>50</v>
      </c>
      <c r="M141" s="12" t="str">
        <f aca="false">IF(COUNTIF(Products!$A:$A,B141)=0,"",IF(INDEX(Products!$G:$G,MATCH(B141,Products!$A:$A,0))="C7010","Hatch_Schedule: "&amp;COUNTIF(Hatch_Schedule!$B:$B,A141)&amp;" dates",COUNTIF(Store_Inventory!$C:$C,A141)))</f>
        <v>Hatch_Schedule: 5 dates</v>
      </c>
    </row>
    <row r="142" customFormat="false" ht="15" hidden="false" customHeight="false" outlineLevel="0" collapsed="false">
      <c r="A142" s="12" t="s">
        <v>2514</v>
      </c>
      <c r="B142" s="12" t="s">
        <v>2015</v>
      </c>
      <c r="C142" s="12" t="s">
        <v>2016</v>
      </c>
      <c r="D142" s="12" t="s">
        <v>2481</v>
      </c>
      <c r="E142" s="12" t="s">
        <v>2515</v>
      </c>
      <c r="F142" s="12" t="n">
        <v>1</v>
      </c>
      <c r="G142" s="12" t="s">
        <v>969</v>
      </c>
      <c r="H142" s="12" t="s">
        <v>992</v>
      </c>
      <c r="I142" s="12" t="n">
        <v>0.05</v>
      </c>
      <c r="J142" s="16" t="s">
        <v>2516</v>
      </c>
      <c r="K142" s="15" t="n">
        <v>2200</v>
      </c>
      <c r="L142" s="12" t="n">
        <v>50</v>
      </c>
      <c r="M142" s="12" t="str">
        <f aca="false">IF(COUNTIF(Products!$A:$A,B142)=0,"",IF(INDEX(Products!$G:$G,MATCH(B142,Products!$A:$A,0))="C7010","Hatch_Schedule: "&amp;COUNTIF(Hatch_Schedule!$B:$B,A142)&amp;" dates",COUNTIF(Store_Inventory!$C:$C,A142)))</f>
        <v>Hatch_Schedule: 5 dates</v>
      </c>
    </row>
    <row r="143" customFormat="false" ht="15" hidden="false" customHeight="false" outlineLevel="0" collapsed="false">
      <c r="A143" s="12" t="s">
        <v>2517</v>
      </c>
      <c r="B143" s="12" t="s">
        <v>2019</v>
      </c>
      <c r="C143" s="12" t="s">
        <v>2020</v>
      </c>
      <c r="D143" s="12" t="s">
        <v>2481</v>
      </c>
      <c r="E143" s="12" t="s">
        <v>2518</v>
      </c>
      <c r="F143" s="12" t="n">
        <v>1</v>
      </c>
      <c r="G143" s="12" t="s">
        <v>969</v>
      </c>
      <c r="H143" s="12" t="s">
        <v>992</v>
      </c>
      <c r="I143" s="12" t="n">
        <v>0.05</v>
      </c>
      <c r="J143" s="16" t="s">
        <v>2519</v>
      </c>
      <c r="K143" s="15" t="n">
        <v>3100</v>
      </c>
      <c r="L143" s="12" t="n">
        <v>50</v>
      </c>
      <c r="M143" s="12" t="str">
        <f aca="false">IF(COUNTIF(Products!$A:$A,B143)=0,"",IF(INDEX(Products!$G:$G,MATCH(B143,Products!$A:$A,0))="C7010","Hatch_Schedule: "&amp;COUNTIF(Hatch_Schedule!$B:$B,A143)&amp;" dates",COUNTIF(Store_Inventory!$C:$C,A143)))</f>
        <v>Hatch_Schedule: 5 dates</v>
      </c>
    </row>
    <row r="144" customFormat="false" ht="15" hidden="false" customHeight="false" outlineLevel="0" collapsed="false">
      <c r="A144" s="12" t="s">
        <v>2520</v>
      </c>
      <c r="B144" s="12" t="s">
        <v>2023</v>
      </c>
      <c r="C144" s="12" t="s">
        <v>2024</v>
      </c>
      <c r="D144" s="12" t="s">
        <v>2481</v>
      </c>
      <c r="E144" s="12" t="s">
        <v>2521</v>
      </c>
      <c r="F144" s="12" t="n">
        <v>1</v>
      </c>
      <c r="G144" s="12" t="s">
        <v>969</v>
      </c>
      <c r="H144" s="12" t="s">
        <v>992</v>
      </c>
      <c r="I144" s="12" t="n">
        <v>0.05</v>
      </c>
      <c r="J144" s="16" t="s">
        <v>2522</v>
      </c>
      <c r="K144" s="15" t="n">
        <v>2100</v>
      </c>
      <c r="L144" s="12" t="n">
        <v>50</v>
      </c>
      <c r="M144" s="12" t="str">
        <f aca="false">IF(COUNTIF(Products!$A:$A,B144)=0,"",IF(INDEX(Products!$G:$G,MATCH(B144,Products!$A:$A,0))="C7010","Hatch_Schedule: "&amp;COUNTIF(Hatch_Schedule!$B:$B,A144)&amp;" dates",COUNTIF(Store_Inventory!$C:$C,A144)))</f>
        <v>Hatch_Schedule: 5 dates</v>
      </c>
    </row>
    <row r="145" customFormat="false" ht="15" hidden="false" customHeight="false" outlineLevel="0" collapsed="false">
      <c r="A145" s="12" t="s">
        <v>2523</v>
      </c>
      <c r="B145" s="12" t="s">
        <v>2028</v>
      </c>
      <c r="C145" s="12" t="s">
        <v>2029</v>
      </c>
      <c r="D145" s="12" t="s">
        <v>2481</v>
      </c>
      <c r="E145" s="12" t="s">
        <v>2524</v>
      </c>
      <c r="F145" s="12" t="n">
        <v>1</v>
      </c>
      <c r="G145" s="12" t="s">
        <v>969</v>
      </c>
      <c r="H145" s="12" t="s">
        <v>992</v>
      </c>
      <c r="I145" s="12" t="n">
        <v>0.05</v>
      </c>
      <c r="J145" s="16" t="s">
        <v>2525</v>
      </c>
      <c r="K145" s="15" t="n">
        <v>2250</v>
      </c>
      <c r="L145" s="12" t="n">
        <v>50</v>
      </c>
      <c r="M145" s="12" t="str">
        <f aca="false">IF(COUNTIF(Products!$A:$A,B145)=0,"",IF(INDEX(Products!$G:$G,MATCH(B145,Products!$A:$A,0))="C7010","Hatch_Schedule: "&amp;COUNTIF(Hatch_Schedule!$B:$B,A145)&amp;" dates",COUNTIF(Store_Inventory!$C:$C,A145)))</f>
        <v>Hatch_Schedule: 6 dates</v>
      </c>
    </row>
    <row r="146" customFormat="false" ht="15" hidden="false" customHeight="false" outlineLevel="0" collapsed="false">
      <c r="A146" s="12" t="s">
        <v>2526</v>
      </c>
      <c r="B146" s="12" t="s">
        <v>2032</v>
      </c>
      <c r="C146" s="12" t="s">
        <v>2033</v>
      </c>
      <c r="D146" s="12" t="s">
        <v>2481</v>
      </c>
      <c r="E146" s="12" t="s">
        <v>2527</v>
      </c>
      <c r="F146" s="12" t="n">
        <v>1</v>
      </c>
      <c r="G146" s="12" t="s">
        <v>969</v>
      </c>
      <c r="H146" s="12" t="s">
        <v>992</v>
      </c>
      <c r="I146" s="12" t="n">
        <v>0.05</v>
      </c>
      <c r="J146" s="16" t="s">
        <v>2528</v>
      </c>
      <c r="K146" s="15" t="n">
        <v>3150</v>
      </c>
      <c r="L146" s="12" t="n">
        <v>50</v>
      </c>
      <c r="M146" s="12" t="str">
        <f aca="false">IF(COUNTIF(Products!$A:$A,B146)=0,"",IF(INDEX(Products!$G:$G,MATCH(B146,Products!$A:$A,0))="C7010","Hatch_Schedule: "&amp;COUNTIF(Hatch_Schedule!$B:$B,A146)&amp;" dates",COUNTIF(Store_Inventory!$C:$C,A146)))</f>
        <v>Hatch_Schedule: 5 dates</v>
      </c>
    </row>
    <row r="147" customFormat="false" ht="15" hidden="false" customHeight="false" outlineLevel="0" collapsed="false">
      <c r="A147" s="12" t="s">
        <v>2529</v>
      </c>
      <c r="B147" s="12" t="s">
        <v>2036</v>
      </c>
      <c r="C147" s="12" t="s">
        <v>2037</v>
      </c>
      <c r="D147" s="12" t="s">
        <v>2481</v>
      </c>
      <c r="E147" s="12" t="s">
        <v>2530</v>
      </c>
      <c r="F147" s="12" t="n">
        <v>1</v>
      </c>
      <c r="G147" s="12" t="s">
        <v>969</v>
      </c>
      <c r="H147" s="12" t="s">
        <v>992</v>
      </c>
      <c r="I147" s="12" t="n">
        <v>0.05</v>
      </c>
      <c r="J147" s="16" t="s">
        <v>2531</v>
      </c>
      <c r="K147" s="15" t="n">
        <v>2250</v>
      </c>
      <c r="L147" s="12" t="n">
        <v>50</v>
      </c>
      <c r="M147" s="12" t="str">
        <f aca="false">IF(COUNTIF(Products!$A:$A,B147)=0,"",IF(INDEX(Products!$G:$G,MATCH(B147,Products!$A:$A,0))="C7010","Hatch_Schedule: "&amp;COUNTIF(Hatch_Schedule!$B:$B,A147)&amp;" dates",COUNTIF(Store_Inventory!$C:$C,A147)))</f>
        <v>Hatch_Schedule: 5 dates</v>
      </c>
    </row>
    <row r="148" customFormat="false" ht="15" hidden="false" customHeight="false" outlineLevel="0" collapsed="false">
      <c r="A148" s="12" t="s">
        <v>2532</v>
      </c>
      <c r="B148" s="12" t="s">
        <v>2041</v>
      </c>
      <c r="C148" s="12" t="s">
        <v>2042</v>
      </c>
      <c r="D148" s="12" t="s">
        <v>2533</v>
      </c>
      <c r="E148" s="12" t="s">
        <v>2534</v>
      </c>
      <c r="F148" s="12" t="n">
        <v>1</v>
      </c>
      <c r="G148" s="12" t="s">
        <v>969</v>
      </c>
      <c r="H148" s="12" t="s">
        <v>992</v>
      </c>
      <c r="I148" s="12" t="n">
        <v>2</v>
      </c>
      <c r="J148" s="16" t="s">
        <v>2535</v>
      </c>
      <c r="K148" s="15" t="n">
        <v>14000</v>
      </c>
      <c r="L148" s="12" t="n">
        <v>1</v>
      </c>
      <c r="M148" s="12" t="n">
        <f aca="false">IF(COUNTIF(Products!$A:$A,B148)=0,"",IF(INDEX(Products!$G:$G,MATCH(B148,Products!$A:$A,0))="C7010","Hatch_Schedule: "&amp;COUNTIF(Hatch_Schedule!$B:$B,A148)&amp;" dates",COUNTIF(Store_Inventory!$C:$C,A148)))</f>
        <v>2</v>
      </c>
    </row>
    <row r="149" customFormat="false" ht="15" hidden="false" customHeight="false" outlineLevel="0" collapsed="false">
      <c r="A149" s="12" t="s">
        <v>2536</v>
      </c>
      <c r="B149" s="12" t="s">
        <v>2047</v>
      </c>
      <c r="C149" s="12" t="s">
        <v>2048</v>
      </c>
      <c r="D149" s="12" t="s">
        <v>2537</v>
      </c>
      <c r="E149" s="12" t="s">
        <v>2538</v>
      </c>
      <c r="F149" s="12" t="n">
        <v>1</v>
      </c>
      <c r="G149" s="12" t="s">
        <v>971</v>
      </c>
      <c r="H149" s="12" t="s">
        <v>971</v>
      </c>
      <c r="I149" s="12" t="n">
        <v>15</v>
      </c>
      <c r="J149" s="16" t="s">
        <v>2539</v>
      </c>
      <c r="K149" s="15" t="n">
        <v>120000</v>
      </c>
      <c r="L149" s="12" t="n">
        <v>1</v>
      </c>
      <c r="M149" s="12" t="n">
        <f aca="false">IF(COUNTIF(Products!$A:$A,B149)=0,"",IF(INDEX(Products!$G:$G,MATCH(B149,Products!$A:$A,0))="C7010","Hatch_Schedule: "&amp;COUNTIF(Hatch_Schedule!$B:$B,A149)&amp;" dates",COUNTIF(Store_Inventory!$C:$C,A149)))</f>
        <v>2</v>
      </c>
    </row>
    <row r="150" customFormat="false" ht="15" hidden="false" customHeight="false" outlineLevel="0" collapsed="false">
      <c r="A150" s="12" t="s">
        <v>2540</v>
      </c>
      <c r="B150" s="12" t="s">
        <v>2052</v>
      </c>
      <c r="C150" s="12" t="s">
        <v>2053</v>
      </c>
      <c r="D150" s="12" t="s">
        <v>2462</v>
      </c>
      <c r="E150" s="12" t="s">
        <v>2541</v>
      </c>
      <c r="F150" s="12" t="n">
        <v>100</v>
      </c>
      <c r="G150" s="12" t="s">
        <v>966</v>
      </c>
      <c r="H150" s="12" t="s">
        <v>989</v>
      </c>
      <c r="I150" s="12" t="n">
        <v>4</v>
      </c>
      <c r="J150" s="16" t="s">
        <v>2542</v>
      </c>
      <c r="K150" s="15" t="n">
        <v>25000</v>
      </c>
      <c r="L150" s="12" t="n">
        <v>1</v>
      </c>
      <c r="M150" s="12" t="n">
        <f aca="false">IF(COUNTIF(Products!$A:$A,B150)=0,"",IF(INDEX(Products!$G:$G,MATCH(B150,Products!$A:$A,0))="C7010","Hatch_Schedule: "&amp;COUNTIF(Hatch_Schedule!$B:$B,A150)&amp;" dates",COUNTIF(Store_Inventory!$C:$C,A150)))</f>
        <v>0</v>
      </c>
    </row>
    <row r="151" customFormat="false" ht="15" hidden="false" customHeight="false" outlineLevel="0" collapsed="false">
      <c r="A151" s="12" t="s">
        <v>2543</v>
      </c>
      <c r="B151" s="12" t="s">
        <v>2057</v>
      </c>
      <c r="C151" s="12" t="s">
        <v>2058</v>
      </c>
      <c r="D151" s="12" t="s">
        <v>2544</v>
      </c>
      <c r="E151" s="12" t="s">
        <v>2545</v>
      </c>
      <c r="F151" s="12" t="n">
        <v>1</v>
      </c>
      <c r="G151" s="12" t="s">
        <v>973</v>
      </c>
      <c r="H151" s="12" t="s">
        <v>993</v>
      </c>
      <c r="I151" s="12" t="n">
        <v>0.01</v>
      </c>
      <c r="J151" s="16" t="s">
        <v>2546</v>
      </c>
      <c r="K151" s="15" t="n">
        <v>25000</v>
      </c>
      <c r="L151" s="12" t="n">
        <v>1</v>
      </c>
      <c r="M151" s="12" t="n">
        <f aca="false">IF(COUNTIF(Products!$A:$A,B151)=0,"",IF(INDEX(Products!$G:$G,MATCH(B151,Products!$A:$A,0))="C7010","Hatch_Schedule: "&amp;COUNTIF(Hatch_Schedule!$B:$B,A151)&amp;" dates",COUNTIF(Store_Inventory!$C:$C,A151)))</f>
        <v>0</v>
      </c>
    </row>
  </sheetData>
  <autoFilter ref="A1:M151"/>
  <dataValidations count="1">
    <dataValidation allowBlank="true" errorStyle="stop" operator="between" showDropDown="false" showErrorMessage="false" showInputMessage="false" sqref="B2:B201" type="list">
      <formula1>Products!$A$2:$A$116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false"/>
  </sheetPr>
  <dimension ref="A1:S6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12"/>
    <col collapsed="false" customWidth="true" hidden="false" outlineLevel="0" max="4" min="4" style="0" width="50"/>
    <col collapsed="false" customWidth="true" hidden="false" outlineLevel="0" max="5" min="5" style="0" width="13"/>
    <col collapsed="false" customWidth="true" hidden="false" outlineLevel="0" max="6" min="6" style="0" width="15"/>
    <col collapsed="false" customWidth="true" hidden="false" outlineLevel="0" max="7" min="7" style="0" width="16"/>
    <col collapsed="false" customWidth="true" hidden="false" outlineLevel="0" max="8" min="8" style="0" width="19"/>
    <col collapsed="false" customWidth="true" hidden="false" outlineLevel="0" max="9" min="9" style="0" width="20"/>
    <col collapsed="false" customWidth="true" hidden="false" outlineLevel="0" max="10" min="10" style="0" width="13"/>
    <col collapsed="false" customWidth="true" hidden="false" outlineLevel="0" max="11" min="11" style="0" width="15"/>
    <col collapsed="false" customWidth="true" hidden="false" outlineLevel="0" max="12" min="12" style="0" width="12"/>
    <col collapsed="false" customWidth="true" hidden="false" outlineLevel="0" max="13" min="13" style="0" width="22"/>
    <col collapsed="false" customWidth="true" hidden="false" outlineLevel="0" max="14" min="14" style="0" width="25"/>
    <col collapsed="false" customWidth="true" hidden="false" outlineLevel="0" max="15" min="15" style="0" width="12"/>
    <col collapsed="false" customWidth="true" hidden="false" outlineLevel="0" max="16" min="16" style="0" width="16"/>
    <col collapsed="false" customWidth="true" hidden="false" outlineLevel="0" max="17" min="17" style="0" width="14"/>
    <col collapsed="false" customWidth="true" hidden="false" outlineLevel="0" max="18" min="18" style="0" width="15"/>
    <col collapsed="false" customWidth="true" hidden="false" outlineLevel="0" max="19" min="19" style="0" width="55"/>
  </cols>
  <sheetData>
    <row r="1" customFormat="false" ht="31.5" hidden="false" customHeight="true" outlineLevel="0" collapsed="false">
      <c r="A1" s="13" t="s">
        <v>2547</v>
      </c>
      <c r="B1" s="13" t="s">
        <v>1254</v>
      </c>
      <c r="C1" s="13" t="s">
        <v>2066</v>
      </c>
      <c r="D1" s="13" t="s">
        <v>1358</v>
      </c>
      <c r="E1" s="13" t="s">
        <v>613</v>
      </c>
      <c r="F1" s="13" t="s">
        <v>617</v>
      </c>
      <c r="G1" s="13" t="s">
        <v>621</v>
      </c>
      <c r="H1" s="13" t="s">
        <v>624</v>
      </c>
      <c r="I1" s="13" t="s">
        <v>628</v>
      </c>
      <c r="J1" s="13" t="s">
        <v>632</v>
      </c>
      <c r="K1" s="13" t="s">
        <v>638</v>
      </c>
      <c r="L1" s="13" t="s">
        <v>641</v>
      </c>
      <c r="M1" s="13" t="s">
        <v>2548</v>
      </c>
      <c r="N1" s="13" t="s">
        <v>2549</v>
      </c>
      <c r="O1" s="13" t="s">
        <v>2550</v>
      </c>
      <c r="P1" s="13" t="s">
        <v>2551</v>
      </c>
      <c r="Q1" s="13" t="s">
        <v>2552</v>
      </c>
      <c r="R1" s="13" t="s">
        <v>2553</v>
      </c>
      <c r="S1" s="13" t="s">
        <v>2554</v>
      </c>
    </row>
    <row r="2" customFormat="false" ht="15" hidden="false" customHeight="false" outlineLevel="0" collapsed="false">
      <c r="A2" s="12" t="s">
        <v>2555</v>
      </c>
      <c r="B2" s="12" t="s">
        <v>1195</v>
      </c>
      <c r="C2" s="12" t="s">
        <v>2070</v>
      </c>
      <c r="D2" s="12" t="s">
        <v>2072</v>
      </c>
      <c r="E2" s="12" t="n">
        <v>116</v>
      </c>
      <c r="F2" s="12" t="n">
        <v>11</v>
      </c>
      <c r="G2" s="15" t="n">
        <v>34100</v>
      </c>
      <c r="H2" s="15" t="n">
        <v>42000</v>
      </c>
      <c r="I2" s="12" t="s">
        <v>2556</v>
      </c>
      <c r="J2" s="17" t="n">
        <v>46430</v>
      </c>
      <c r="K2" s="12" t="s">
        <v>1120</v>
      </c>
      <c r="L2" s="12" t="n">
        <v>81</v>
      </c>
      <c r="M2" s="15" t="n">
        <f aca="false">E2*G2</f>
        <v>3955600</v>
      </c>
      <c r="N2" s="15" t="n">
        <f aca="false">E2*H2</f>
        <v>4872000</v>
      </c>
      <c r="O2" s="18" t="n">
        <f aca="false">IF(H2=0,"",(H2-G2)/H2)</f>
        <v>0.188095238095238</v>
      </c>
      <c r="P2" s="12" t="n">
        <f aca="false">IF(J2="","",J2-README!$C$4)</f>
        <v>108</v>
      </c>
      <c r="Q2" s="12" t="str">
        <f aca="false">IF(E2=0,"Out of stock",IF(E2&lt;=F2,"Low stock","OK"))</f>
        <v>OK</v>
      </c>
      <c r="R2" s="12" t="str">
        <f aca="false">IF(J2="","No expiry",IF(P2&lt;0,"Expired",IF(P2&lt;=30,"Expiring &lt;=30 days","OK")))</f>
        <v>OK</v>
      </c>
      <c r="S2" s="12"/>
    </row>
    <row r="3" customFormat="false" ht="15" hidden="false" customHeight="false" outlineLevel="0" collapsed="false">
      <c r="A3" s="12" t="s">
        <v>2557</v>
      </c>
      <c r="B3" s="12" t="s">
        <v>1195</v>
      </c>
      <c r="C3" s="12" t="s">
        <v>2074</v>
      </c>
      <c r="D3" s="12" t="s">
        <v>2076</v>
      </c>
      <c r="E3" s="12" t="n">
        <v>150</v>
      </c>
      <c r="F3" s="12" t="n">
        <v>11</v>
      </c>
      <c r="G3" s="15" t="n">
        <v>68600</v>
      </c>
      <c r="H3" s="15" t="n">
        <v>82000</v>
      </c>
      <c r="I3" s="12" t="s">
        <v>2558</v>
      </c>
      <c r="J3" s="17" t="n">
        <v>46448</v>
      </c>
      <c r="K3" s="12" t="s">
        <v>1120</v>
      </c>
      <c r="L3" s="12" t="n">
        <v>105</v>
      </c>
      <c r="M3" s="15" t="n">
        <f aca="false">E3*G3</f>
        <v>10290000</v>
      </c>
      <c r="N3" s="15" t="n">
        <f aca="false">E3*H3</f>
        <v>12300000</v>
      </c>
      <c r="O3" s="18" t="n">
        <f aca="false">IF(H3=0,"",(H3-G3)/H3)</f>
        <v>0.163414634146341</v>
      </c>
      <c r="P3" s="12" t="n">
        <f aca="false">IF(J3="","",J3-README!$C$4)</f>
        <v>126</v>
      </c>
      <c r="Q3" s="12" t="str">
        <f aca="false">IF(E3=0,"Out of stock",IF(E3&lt;=F3,"Low stock","OK"))</f>
        <v>OK</v>
      </c>
      <c r="R3" s="12" t="str">
        <f aca="false">IF(J3="","No expiry",IF(P3&lt;0,"Expired",IF(P3&lt;=30,"Expiring &lt;=30 days","OK")))</f>
        <v>OK</v>
      </c>
      <c r="S3" s="12"/>
    </row>
    <row r="4" customFormat="false" ht="15" hidden="false" customHeight="false" outlineLevel="0" collapsed="false">
      <c r="A4" s="12" t="s">
        <v>2559</v>
      </c>
      <c r="B4" s="12" t="s">
        <v>1195</v>
      </c>
      <c r="C4" s="12" t="s">
        <v>2078</v>
      </c>
      <c r="D4" s="12" t="s">
        <v>2079</v>
      </c>
      <c r="E4" s="12" t="n">
        <v>0</v>
      </c>
      <c r="F4" s="12" t="n">
        <v>11</v>
      </c>
      <c r="G4" s="15" t="n">
        <v>34800</v>
      </c>
      <c r="H4" s="15" t="n">
        <v>40000</v>
      </c>
      <c r="I4" s="12" t="s">
        <v>2560</v>
      </c>
      <c r="J4" s="17" t="n">
        <v>46377</v>
      </c>
      <c r="K4" s="12" t="s">
        <v>1120</v>
      </c>
      <c r="L4" s="12" t="n">
        <v>0</v>
      </c>
      <c r="M4" s="15" t="n">
        <f aca="false">E4*G4</f>
        <v>0</v>
      </c>
      <c r="N4" s="15" t="n">
        <f aca="false">E4*H4</f>
        <v>0</v>
      </c>
      <c r="O4" s="18" t="n">
        <f aca="false">IF(H4=0,"",(H4-G4)/H4)</f>
        <v>0.13</v>
      </c>
      <c r="P4" s="12" t="n">
        <f aca="false">IF(J4="","",J4-README!$C$4)</f>
        <v>55</v>
      </c>
      <c r="Q4" s="12" t="str">
        <f aca="false">IF(E4=0,"Out of stock",IF(E4&lt;=F4,"Low stock","OK"))</f>
        <v>Out of stock</v>
      </c>
      <c r="R4" s="12" t="str">
        <f aca="false">IF(J4="","No expiry",IF(P4&lt;0,"Expired",IF(P4&lt;=30,"Expiring &lt;=30 days","OK")))</f>
        <v>OK</v>
      </c>
      <c r="S4" s="19" t="s">
        <v>2561</v>
      </c>
    </row>
    <row r="5" customFormat="false" ht="15" hidden="false" customHeight="false" outlineLevel="0" collapsed="false">
      <c r="A5" s="12" t="s">
        <v>2562</v>
      </c>
      <c r="B5" s="12" t="s">
        <v>1195</v>
      </c>
      <c r="C5" s="12" t="s">
        <v>2081</v>
      </c>
      <c r="D5" s="12" t="s">
        <v>2082</v>
      </c>
      <c r="E5" s="12" t="n">
        <v>56</v>
      </c>
      <c r="F5" s="12" t="n">
        <v>11</v>
      </c>
      <c r="G5" s="15" t="n">
        <v>67900</v>
      </c>
      <c r="H5" s="15" t="n">
        <v>78000</v>
      </c>
      <c r="I5" s="12" t="s">
        <v>2563</v>
      </c>
      <c r="J5" s="17" t="n">
        <v>46471</v>
      </c>
      <c r="K5" s="12" t="s">
        <v>1120</v>
      </c>
      <c r="L5" s="12" t="n">
        <v>39</v>
      </c>
      <c r="M5" s="15" t="n">
        <f aca="false">E5*G5</f>
        <v>3802400</v>
      </c>
      <c r="N5" s="15" t="n">
        <f aca="false">E5*H5</f>
        <v>4368000</v>
      </c>
      <c r="O5" s="18" t="n">
        <f aca="false">IF(H5=0,"",(H5-G5)/H5)</f>
        <v>0.12948717948718</v>
      </c>
      <c r="P5" s="12" t="n">
        <f aca="false">IF(J5="","",J5-README!$C$4)</f>
        <v>149</v>
      </c>
      <c r="Q5" s="12" t="str">
        <f aca="false">IF(E5=0,"Out of stock",IF(E5&lt;=F5,"Low stock","OK"))</f>
        <v>OK</v>
      </c>
      <c r="R5" s="12" t="str">
        <f aca="false">IF(J5="","No expiry",IF(P5&lt;0,"Expired",IF(P5&lt;=30,"Expiring &lt;=30 days","OK")))</f>
        <v>OK</v>
      </c>
      <c r="S5" s="12"/>
    </row>
    <row r="6" customFormat="false" ht="15" hidden="false" customHeight="false" outlineLevel="0" collapsed="false">
      <c r="A6" s="12" t="s">
        <v>2564</v>
      </c>
      <c r="B6" s="12" t="s">
        <v>1195</v>
      </c>
      <c r="C6" s="12" t="s">
        <v>2084</v>
      </c>
      <c r="D6" s="12" t="s">
        <v>2085</v>
      </c>
      <c r="E6" s="12" t="n">
        <v>108</v>
      </c>
      <c r="F6" s="12" t="n">
        <v>11</v>
      </c>
      <c r="G6" s="15" t="n">
        <v>33500</v>
      </c>
      <c r="H6" s="15" t="n">
        <v>39000</v>
      </c>
      <c r="I6" s="12" t="s">
        <v>2565</v>
      </c>
      <c r="J6" s="17" t="n">
        <v>46471</v>
      </c>
      <c r="K6" s="12" t="s">
        <v>1120</v>
      </c>
      <c r="L6" s="12" t="n">
        <v>75</v>
      </c>
      <c r="M6" s="15" t="n">
        <f aca="false">E6*G6</f>
        <v>3618000</v>
      </c>
      <c r="N6" s="15" t="n">
        <f aca="false">E6*H6</f>
        <v>4212000</v>
      </c>
      <c r="O6" s="18" t="n">
        <f aca="false">IF(H6=0,"",(H6-G6)/H6)</f>
        <v>0.141025641025641</v>
      </c>
      <c r="P6" s="12" t="n">
        <f aca="false">IF(J6="","",J6-README!$C$4)</f>
        <v>149</v>
      </c>
      <c r="Q6" s="12" t="str">
        <f aca="false">IF(E6=0,"Out of stock",IF(E6&lt;=F6,"Low stock","OK"))</f>
        <v>OK</v>
      </c>
      <c r="R6" s="12" t="str">
        <f aca="false">IF(J6="","No expiry",IF(P6&lt;0,"Expired",IF(P6&lt;=30,"Expiring &lt;=30 days","OK")))</f>
        <v>OK</v>
      </c>
      <c r="S6" s="12"/>
    </row>
    <row r="7" customFormat="false" ht="15" hidden="false" customHeight="false" outlineLevel="0" collapsed="false">
      <c r="A7" s="12" t="s">
        <v>2566</v>
      </c>
      <c r="B7" s="12" t="s">
        <v>1195</v>
      </c>
      <c r="C7" s="12" t="s">
        <v>2087</v>
      </c>
      <c r="D7" s="12" t="s">
        <v>2088</v>
      </c>
      <c r="E7" s="12" t="n">
        <v>78</v>
      </c>
      <c r="F7" s="12" t="n">
        <v>11</v>
      </c>
      <c r="G7" s="15" t="n">
        <v>61800</v>
      </c>
      <c r="H7" s="15" t="n">
        <v>76000</v>
      </c>
      <c r="I7" s="12" t="s">
        <v>2567</v>
      </c>
      <c r="J7" s="17" t="n">
        <v>46384</v>
      </c>
      <c r="K7" s="12" t="s">
        <v>1120</v>
      </c>
      <c r="L7" s="12" t="n">
        <v>54</v>
      </c>
      <c r="M7" s="15" t="n">
        <f aca="false">E7*G7</f>
        <v>4820400</v>
      </c>
      <c r="N7" s="15" t="n">
        <f aca="false">E7*H7</f>
        <v>5928000</v>
      </c>
      <c r="O7" s="18" t="n">
        <f aca="false">IF(H7=0,"",(H7-G7)/H7)</f>
        <v>0.186842105263158</v>
      </c>
      <c r="P7" s="12" t="n">
        <f aca="false">IF(J7="","",J7-README!$C$4)</f>
        <v>62</v>
      </c>
      <c r="Q7" s="12" t="str">
        <f aca="false">IF(E7=0,"Out of stock",IF(E7&lt;=F7,"Low stock","OK"))</f>
        <v>OK</v>
      </c>
      <c r="R7" s="12" t="str">
        <f aca="false">IF(J7="","No expiry",IF(P7&lt;0,"Expired",IF(P7&lt;=30,"Expiring &lt;=30 days","OK")))</f>
        <v>OK</v>
      </c>
      <c r="S7" s="12"/>
    </row>
    <row r="8" customFormat="false" ht="15" hidden="false" customHeight="false" outlineLevel="0" collapsed="false">
      <c r="A8" s="12" t="s">
        <v>2568</v>
      </c>
      <c r="B8" s="12" t="s">
        <v>1195</v>
      </c>
      <c r="C8" s="12" t="s">
        <v>2090</v>
      </c>
      <c r="D8" s="12" t="s">
        <v>2091</v>
      </c>
      <c r="E8" s="12" t="n">
        <v>36</v>
      </c>
      <c r="F8" s="12" t="n">
        <v>11</v>
      </c>
      <c r="G8" s="15" t="n">
        <v>57400</v>
      </c>
      <c r="H8" s="15" t="n">
        <v>70000</v>
      </c>
      <c r="I8" s="12" t="s">
        <v>2569</v>
      </c>
      <c r="J8" s="17" t="n">
        <v>46422</v>
      </c>
      <c r="K8" s="12" t="s">
        <v>1111</v>
      </c>
      <c r="L8" s="12" t="n">
        <v>0</v>
      </c>
      <c r="M8" s="15" t="n">
        <f aca="false">E8*G8</f>
        <v>2066400</v>
      </c>
      <c r="N8" s="15" t="n">
        <f aca="false">E8*H8</f>
        <v>2520000</v>
      </c>
      <c r="O8" s="18" t="n">
        <f aca="false">IF(H8=0,"",(H8-G8)/H8)</f>
        <v>0.18</v>
      </c>
      <c r="P8" s="12" t="n">
        <f aca="false">IF(J8="","",J8-README!$C$4)</f>
        <v>100</v>
      </c>
      <c r="Q8" s="12" t="str">
        <f aca="false">IF(E8=0,"Out of stock",IF(E8&lt;=F8,"Low stock","OK"))</f>
        <v>OK</v>
      </c>
      <c r="R8" s="12" t="str">
        <f aca="false">IF(J8="","No expiry",IF(P8&lt;0,"Expired",IF(P8&lt;=30,"Expiring &lt;=30 days","OK")))</f>
        <v>OK</v>
      </c>
      <c r="S8" s="12"/>
    </row>
    <row r="9" customFormat="false" ht="15" hidden="false" customHeight="false" outlineLevel="0" collapsed="false">
      <c r="A9" s="12" t="s">
        <v>2570</v>
      </c>
      <c r="B9" s="12" t="s">
        <v>1195</v>
      </c>
      <c r="C9" s="12" t="s">
        <v>2093</v>
      </c>
      <c r="D9" s="12" t="s">
        <v>2094</v>
      </c>
      <c r="E9" s="12" t="n">
        <v>122</v>
      </c>
      <c r="F9" s="12" t="n">
        <v>11</v>
      </c>
      <c r="G9" s="15" t="n">
        <v>27700</v>
      </c>
      <c r="H9" s="15" t="n">
        <v>32000</v>
      </c>
      <c r="I9" s="12" t="s">
        <v>2571</v>
      </c>
      <c r="J9" s="17" t="n">
        <v>46395</v>
      </c>
      <c r="K9" s="12" t="s">
        <v>1120</v>
      </c>
      <c r="L9" s="12" t="n">
        <v>85</v>
      </c>
      <c r="M9" s="15" t="n">
        <f aca="false">E9*G9</f>
        <v>3379400</v>
      </c>
      <c r="N9" s="15" t="n">
        <f aca="false">E9*H9</f>
        <v>3904000</v>
      </c>
      <c r="O9" s="18" t="n">
        <f aca="false">IF(H9=0,"",(H9-G9)/H9)</f>
        <v>0.134375</v>
      </c>
      <c r="P9" s="12" t="n">
        <f aca="false">IF(J9="","",J9-README!$C$4)</f>
        <v>73</v>
      </c>
      <c r="Q9" s="12" t="str">
        <f aca="false">IF(E9=0,"Out of stock",IF(E9&lt;=F9,"Low stock","OK"))</f>
        <v>OK</v>
      </c>
      <c r="R9" s="12" t="str">
        <f aca="false">IF(J9="","No expiry",IF(P9&lt;0,"Expired",IF(P9&lt;=30,"Expiring &lt;=30 days","OK")))</f>
        <v>OK</v>
      </c>
      <c r="S9" s="12"/>
    </row>
    <row r="10" customFormat="false" ht="15" hidden="false" customHeight="false" outlineLevel="0" collapsed="false">
      <c r="A10" s="12" t="s">
        <v>2572</v>
      </c>
      <c r="B10" s="12" t="s">
        <v>1195</v>
      </c>
      <c r="C10" s="12" t="s">
        <v>2096</v>
      </c>
      <c r="D10" s="12" t="s">
        <v>2097</v>
      </c>
      <c r="E10" s="12" t="n">
        <v>126</v>
      </c>
      <c r="F10" s="12" t="n">
        <v>11</v>
      </c>
      <c r="G10" s="15" t="n">
        <v>53800</v>
      </c>
      <c r="H10" s="15" t="n">
        <v>62000</v>
      </c>
      <c r="I10" s="12" t="s">
        <v>2573</v>
      </c>
      <c r="J10" s="17" t="n">
        <v>46440</v>
      </c>
      <c r="K10" s="12" t="s">
        <v>1120</v>
      </c>
      <c r="L10" s="12" t="n">
        <v>88</v>
      </c>
      <c r="M10" s="15" t="n">
        <f aca="false">E10*G10</f>
        <v>6778800</v>
      </c>
      <c r="N10" s="15" t="n">
        <f aca="false">E10*H10</f>
        <v>7812000</v>
      </c>
      <c r="O10" s="18" t="n">
        <f aca="false">IF(H10=0,"",(H10-G10)/H10)</f>
        <v>0.132258064516129</v>
      </c>
      <c r="P10" s="12" t="n">
        <f aca="false">IF(J10="","",J10-README!$C$4)</f>
        <v>118</v>
      </c>
      <c r="Q10" s="12" t="str">
        <f aca="false">IF(E10=0,"Out of stock",IF(E10&lt;=F10,"Low stock","OK"))</f>
        <v>OK</v>
      </c>
      <c r="R10" s="12" t="str">
        <f aca="false">IF(J10="","No expiry",IF(P10&lt;0,"Expired",IF(P10&lt;=30,"Expiring &lt;=30 days","OK")))</f>
        <v>OK</v>
      </c>
      <c r="S10" s="12"/>
    </row>
    <row r="11" customFormat="false" ht="15" hidden="false" customHeight="false" outlineLevel="0" collapsed="false">
      <c r="A11" s="12" t="s">
        <v>2574</v>
      </c>
      <c r="B11" s="12" t="s">
        <v>1195</v>
      </c>
      <c r="C11" s="12" t="s">
        <v>2099</v>
      </c>
      <c r="D11" s="12" t="s">
        <v>2100</v>
      </c>
      <c r="E11" s="12" t="n">
        <v>46</v>
      </c>
      <c r="F11" s="12" t="n">
        <v>11</v>
      </c>
      <c r="G11" s="15" t="n">
        <v>27100</v>
      </c>
      <c r="H11" s="15" t="n">
        <v>31000</v>
      </c>
      <c r="I11" s="12" t="s">
        <v>2575</v>
      </c>
      <c r="J11" s="17" t="n">
        <v>46418</v>
      </c>
      <c r="K11" s="12" t="s">
        <v>1120</v>
      </c>
      <c r="L11" s="12" t="n">
        <v>32</v>
      </c>
      <c r="M11" s="15" t="n">
        <f aca="false">E11*G11</f>
        <v>1246600</v>
      </c>
      <c r="N11" s="15" t="n">
        <f aca="false">E11*H11</f>
        <v>1426000</v>
      </c>
      <c r="O11" s="18" t="n">
        <f aca="false">IF(H11=0,"",(H11-G11)/H11)</f>
        <v>0.125806451612903</v>
      </c>
      <c r="P11" s="12" t="n">
        <f aca="false">IF(J11="","",J11-README!$C$4)</f>
        <v>96</v>
      </c>
      <c r="Q11" s="12" t="str">
        <f aca="false">IF(E11=0,"Out of stock",IF(E11&lt;=F11,"Low stock","OK"))</f>
        <v>OK</v>
      </c>
      <c r="R11" s="12" t="str">
        <f aca="false">IF(J11="","No expiry",IF(P11&lt;0,"Expired",IF(P11&lt;=30,"Expiring &lt;=30 days","OK")))</f>
        <v>OK</v>
      </c>
      <c r="S11" s="12"/>
    </row>
    <row r="12" customFormat="false" ht="15" hidden="false" customHeight="false" outlineLevel="0" collapsed="false">
      <c r="A12" s="12" t="s">
        <v>2576</v>
      </c>
      <c r="B12" s="12" t="s">
        <v>1195</v>
      </c>
      <c r="C12" s="12" t="s">
        <v>2102</v>
      </c>
      <c r="D12" s="12" t="s">
        <v>2103</v>
      </c>
      <c r="E12" s="12" t="n">
        <v>50</v>
      </c>
      <c r="F12" s="12" t="n">
        <v>11</v>
      </c>
      <c r="G12" s="15" t="n">
        <v>50300</v>
      </c>
      <c r="H12" s="15" t="n">
        <v>60000</v>
      </c>
      <c r="I12" s="12" t="s">
        <v>2577</v>
      </c>
      <c r="J12" s="17" t="n">
        <v>46375</v>
      </c>
      <c r="K12" s="12" t="s">
        <v>1120</v>
      </c>
      <c r="L12" s="12" t="n">
        <v>35</v>
      </c>
      <c r="M12" s="15" t="n">
        <f aca="false">E12*G12</f>
        <v>2515000</v>
      </c>
      <c r="N12" s="15" t="n">
        <f aca="false">E12*H12</f>
        <v>3000000</v>
      </c>
      <c r="O12" s="18" t="n">
        <f aca="false">IF(H12=0,"",(H12-G12)/H12)</f>
        <v>0.161666666666667</v>
      </c>
      <c r="P12" s="12" t="n">
        <f aca="false">IF(J12="","",J12-README!$C$4)</f>
        <v>53</v>
      </c>
      <c r="Q12" s="12" t="str">
        <f aca="false">IF(E12=0,"Out of stock",IF(E12&lt;=F12,"Low stock","OK"))</f>
        <v>OK</v>
      </c>
      <c r="R12" s="12" t="str">
        <f aca="false">IF(J12="","No expiry",IF(P12&lt;0,"Expired",IF(P12&lt;=30,"Expiring &lt;=30 days","OK")))</f>
        <v>OK</v>
      </c>
      <c r="S12" s="12"/>
    </row>
    <row r="13" customFormat="false" ht="15" hidden="false" customHeight="false" outlineLevel="0" collapsed="false">
      <c r="A13" s="12" t="s">
        <v>2578</v>
      </c>
      <c r="B13" s="12" t="s">
        <v>1195</v>
      </c>
      <c r="C13" s="12" t="s">
        <v>2105</v>
      </c>
      <c r="D13" s="12" t="s">
        <v>2106</v>
      </c>
      <c r="E13" s="12" t="n">
        <v>100</v>
      </c>
      <c r="F13" s="12" t="n">
        <v>11</v>
      </c>
      <c r="G13" s="15" t="n">
        <v>48800</v>
      </c>
      <c r="H13" s="15" t="n">
        <v>58000</v>
      </c>
      <c r="I13" s="12" t="s">
        <v>2579</v>
      </c>
      <c r="J13" s="17" t="n">
        <v>46406</v>
      </c>
      <c r="K13" s="12" t="s">
        <v>1120</v>
      </c>
      <c r="L13" s="12" t="n">
        <v>70</v>
      </c>
      <c r="M13" s="15" t="n">
        <f aca="false">E13*G13</f>
        <v>4880000</v>
      </c>
      <c r="N13" s="15" t="n">
        <f aca="false">E13*H13</f>
        <v>5800000</v>
      </c>
      <c r="O13" s="18" t="n">
        <f aca="false">IF(H13=0,"",(H13-G13)/H13)</f>
        <v>0.158620689655172</v>
      </c>
      <c r="P13" s="12" t="n">
        <f aca="false">IF(J13="","",J13-README!$C$4)</f>
        <v>84</v>
      </c>
      <c r="Q13" s="12" t="str">
        <f aca="false">IF(E13=0,"Out of stock",IF(E13&lt;=F13,"Low stock","OK"))</f>
        <v>OK</v>
      </c>
      <c r="R13" s="12" t="str">
        <f aca="false">IF(J13="","No expiry",IF(P13&lt;0,"Expired",IF(P13&lt;=30,"Expiring &lt;=30 days","OK")))</f>
        <v>OK</v>
      </c>
      <c r="S13" s="12"/>
    </row>
    <row r="14" customFormat="false" ht="15" hidden="false" customHeight="false" outlineLevel="0" collapsed="false">
      <c r="A14" s="12" t="s">
        <v>2580</v>
      </c>
      <c r="B14" s="12" t="s">
        <v>1195</v>
      </c>
      <c r="C14" s="12" t="s">
        <v>2108</v>
      </c>
      <c r="D14" s="12" t="s">
        <v>2109</v>
      </c>
      <c r="E14" s="12" t="n">
        <v>108</v>
      </c>
      <c r="F14" s="12" t="n">
        <v>11</v>
      </c>
      <c r="G14" s="15" t="n">
        <v>42400</v>
      </c>
      <c r="H14" s="15" t="n">
        <v>48000</v>
      </c>
      <c r="I14" s="12" t="s">
        <v>2581</v>
      </c>
      <c r="J14" s="17" t="n">
        <v>46361</v>
      </c>
      <c r="K14" s="12" t="s">
        <v>1111</v>
      </c>
      <c r="L14" s="12" t="n">
        <v>0</v>
      </c>
      <c r="M14" s="15" t="n">
        <f aca="false">E14*G14</f>
        <v>4579200</v>
      </c>
      <c r="N14" s="15" t="n">
        <f aca="false">E14*H14</f>
        <v>5184000</v>
      </c>
      <c r="O14" s="18" t="n">
        <f aca="false">IF(H14=0,"",(H14-G14)/H14)</f>
        <v>0.116666666666667</v>
      </c>
      <c r="P14" s="12" t="n">
        <f aca="false">IF(J14="","",J14-README!$C$4)</f>
        <v>39</v>
      </c>
      <c r="Q14" s="12" t="str">
        <f aca="false">IF(E14=0,"Out of stock",IF(E14&lt;=F14,"Low stock","OK"))</f>
        <v>OK</v>
      </c>
      <c r="R14" s="12" t="str">
        <f aca="false">IF(J14="","No expiry",IF(P14&lt;0,"Expired",IF(P14&lt;=30,"Expiring &lt;=30 days","OK")))</f>
        <v>OK</v>
      </c>
      <c r="S14" s="12"/>
    </row>
    <row r="15" customFormat="false" ht="15" hidden="false" customHeight="false" outlineLevel="0" collapsed="false">
      <c r="A15" s="12" t="s">
        <v>2582</v>
      </c>
      <c r="B15" s="12" t="s">
        <v>1195</v>
      </c>
      <c r="C15" s="12" t="s">
        <v>2111</v>
      </c>
      <c r="D15" s="12" t="s">
        <v>2112</v>
      </c>
      <c r="E15" s="12" t="n">
        <v>50</v>
      </c>
      <c r="F15" s="12" t="n">
        <v>11</v>
      </c>
      <c r="G15" s="15" t="n">
        <v>56800</v>
      </c>
      <c r="H15" s="15" t="n">
        <v>66000</v>
      </c>
      <c r="I15" s="12" t="s">
        <v>2583</v>
      </c>
      <c r="J15" s="17" t="n">
        <v>46412</v>
      </c>
      <c r="K15" s="12" t="s">
        <v>1120</v>
      </c>
      <c r="L15" s="12" t="n">
        <v>35</v>
      </c>
      <c r="M15" s="15" t="n">
        <f aca="false">E15*G15</f>
        <v>2840000</v>
      </c>
      <c r="N15" s="15" t="n">
        <f aca="false">E15*H15</f>
        <v>3300000</v>
      </c>
      <c r="O15" s="18" t="n">
        <f aca="false">IF(H15=0,"",(H15-G15)/H15)</f>
        <v>0.139393939393939</v>
      </c>
      <c r="P15" s="12" t="n">
        <f aca="false">IF(J15="","",J15-README!$C$4)</f>
        <v>90</v>
      </c>
      <c r="Q15" s="12" t="str">
        <f aca="false">IF(E15=0,"Out of stock",IF(E15&lt;=F15,"Low stock","OK"))</f>
        <v>OK</v>
      </c>
      <c r="R15" s="12" t="str">
        <f aca="false">IF(J15="","No expiry",IF(P15&lt;0,"Expired",IF(P15&lt;=30,"Expiring &lt;=30 days","OK")))</f>
        <v>OK</v>
      </c>
      <c r="S15" s="12"/>
    </row>
    <row r="16" customFormat="false" ht="15" hidden="false" customHeight="false" outlineLevel="0" collapsed="false">
      <c r="A16" s="12" t="s">
        <v>2584</v>
      </c>
      <c r="B16" s="12" t="s">
        <v>1195</v>
      </c>
      <c r="C16" s="12" t="s">
        <v>2114</v>
      </c>
      <c r="D16" s="12" t="s">
        <v>2115</v>
      </c>
      <c r="E16" s="12" t="n">
        <v>112</v>
      </c>
      <c r="F16" s="12" t="n">
        <v>11</v>
      </c>
      <c r="G16" s="15" t="n">
        <v>51400</v>
      </c>
      <c r="H16" s="15" t="n">
        <v>60000</v>
      </c>
      <c r="I16" s="12" t="s">
        <v>2585</v>
      </c>
      <c r="J16" s="17" t="n">
        <v>46393</v>
      </c>
      <c r="K16" s="12" t="s">
        <v>1120</v>
      </c>
      <c r="L16" s="12" t="n">
        <v>78</v>
      </c>
      <c r="M16" s="15" t="n">
        <f aca="false">E16*G16</f>
        <v>5756800</v>
      </c>
      <c r="N16" s="15" t="n">
        <f aca="false">E16*H16</f>
        <v>6720000</v>
      </c>
      <c r="O16" s="18" t="n">
        <f aca="false">IF(H16=0,"",(H16-G16)/H16)</f>
        <v>0.143333333333333</v>
      </c>
      <c r="P16" s="12" t="n">
        <f aca="false">IF(J16="","",J16-README!$C$4)</f>
        <v>71</v>
      </c>
      <c r="Q16" s="12" t="str">
        <f aca="false">IF(E16=0,"Out of stock",IF(E16&lt;=F16,"Low stock","OK"))</f>
        <v>OK</v>
      </c>
      <c r="R16" s="12" t="str">
        <f aca="false">IF(J16="","No expiry",IF(P16&lt;0,"Expired",IF(P16&lt;=30,"Expiring &lt;=30 days","OK")))</f>
        <v>OK</v>
      </c>
      <c r="S16" s="12"/>
    </row>
    <row r="17" customFormat="false" ht="15" hidden="false" customHeight="false" outlineLevel="0" collapsed="false">
      <c r="A17" s="12" t="s">
        <v>2586</v>
      </c>
      <c r="B17" s="12" t="s">
        <v>1195</v>
      </c>
      <c r="C17" s="12" t="s">
        <v>2117</v>
      </c>
      <c r="D17" s="12" t="s">
        <v>2118</v>
      </c>
      <c r="E17" s="12" t="n">
        <v>58</v>
      </c>
      <c r="F17" s="12" t="n">
        <v>11</v>
      </c>
      <c r="G17" s="15" t="n">
        <v>39600</v>
      </c>
      <c r="H17" s="15" t="n">
        <v>48000</v>
      </c>
      <c r="I17" s="12" t="s">
        <v>2587</v>
      </c>
      <c r="J17" s="17" t="n">
        <v>46416</v>
      </c>
      <c r="K17" s="12" t="s">
        <v>1120</v>
      </c>
      <c r="L17" s="12" t="n">
        <v>40</v>
      </c>
      <c r="M17" s="15" t="n">
        <f aca="false">E17*G17</f>
        <v>2296800</v>
      </c>
      <c r="N17" s="15" t="n">
        <f aca="false">E17*H17</f>
        <v>2784000</v>
      </c>
      <c r="O17" s="18" t="n">
        <f aca="false">IF(H17=0,"",(H17-G17)/H17)</f>
        <v>0.175</v>
      </c>
      <c r="P17" s="12" t="n">
        <f aca="false">IF(J17="","",J17-README!$C$4)</f>
        <v>94</v>
      </c>
      <c r="Q17" s="12" t="str">
        <f aca="false">IF(E17=0,"Out of stock",IF(E17&lt;=F17,"Low stock","OK"))</f>
        <v>OK</v>
      </c>
      <c r="R17" s="12" t="str">
        <f aca="false">IF(J17="","No expiry",IF(P17&lt;0,"Expired",IF(P17&lt;=30,"Expiring &lt;=30 days","OK")))</f>
        <v>OK</v>
      </c>
      <c r="S17" s="12"/>
    </row>
    <row r="18" customFormat="false" ht="15" hidden="false" customHeight="false" outlineLevel="0" collapsed="false">
      <c r="A18" s="12" t="s">
        <v>2588</v>
      </c>
      <c r="B18" s="12" t="s">
        <v>1195</v>
      </c>
      <c r="C18" s="12" t="s">
        <v>2120</v>
      </c>
      <c r="D18" s="12" t="s">
        <v>2122</v>
      </c>
      <c r="E18" s="12" t="n">
        <v>52</v>
      </c>
      <c r="F18" s="12" t="n">
        <v>11</v>
      </c>
      <c r="G18" s="15" t="n">
        <v>54400</v>
      </c>
      <c r="H18" s="15" t="n">
        <v>65000</v>
      </c>
      <c r="I18" s="12" t="s">
        <v>2589</v>
      </c>
      <c r="J18" s="17" t="n">
        <v>46445</v>
      </c>
      <c r="K18" s="12" t="s">
        <v>1120</v>
      </c>
      <c r="L18" s="12" t="n">
        <v>36</v>
      </c>
      <c r="M18" s="15" t="n">
        <f aca="false">E18*G18</f>
        <v>2828800</v>
      </c>
      <c r="N18" s="15" t="n">
        <f aca="false">E18*H18</f>
        <v>3380000</v>
      </c>
      <c r="O18" s="18" t="n">
        <f aca="false">IF(H18=0,"",(H18-G18)/H18)</f>
        <v>0.163076923076923</v>
      </c>
      <c r="P18" s="12" t="n">
        <f aca="false">IF(J18="","",J18-README!$C$4)</f>
        <v>123</v>
      </c>
      <c r="Q18" s="12" t="str">
        <f aca="false">IF(E18=0,"Out of stock",IF(E18&lt;=F18,"Low stock","OK"))</f>
        <v>OK</v>
      </c>
      <c r="R18" s="12" t="str">
        <f aca="false">IF(J18="","No expiry",IF(P18&lt;0,"Expired",IF(P18&lt;=30,"Expiring &lt;=30 days","OK")))</f>
        <v>OK</v>
      </c>
      <c r="S18" s="12"/>
    </row>
    <row r="19" customFormat="false" ht="15" hidden="false" customHeight="false" outlineLevel="0" collapsed="false">
      <c r="A19" s="12" t="s">
        <v>2590</v>
      </c>
      <c r="B19" s="12" t="s">
        <v>1195</v>
      </c>
      <c r="C19" s="12" t="s">
        <v>2124</v>
      </c>
      <c r="D19" s="12" t="s">
        <v>2125</v>
      </c>
      <c r="E19" s="12" t="n">
        <v>70</v>
      </c>
      <c r="F19" s="12" t="n">
        <v>11</v>
      </c>
      <c r="G19" s="15" t="n">
        <v>39200</v>
      </c>
      <c r="H19" s="15" t="n">
        <v>45000</v>
      </c>
      <c r="I19" s="12" t="s">
        <v>2591</v>
      </c>
      <c r="J19" s="17" t="n">
        <v>46465</v>
      </c>
      <c r="K19" s="12" t="s">
        <v>1120</v>
      </c>
      <c r="L19" s="12" t="n">
        <v>49</v>
      </c>
      <c r="M19" s="15" t="n">
        <f aca="false">E19*G19</f>
        <v>2744000</v>
      </c>
      <c r="N19" s="15" t="n">
        <f aca="false">E19*H19</f>
        <v>3150000</v>
      </c>
      <c r="O19" s="18" t="n">
        <f aca="false">IF(H19=0,"",(H19-G19)/H19)</f>
        <v>0.128888888888889</v>
      </c>
      <c r="P19" s="12" t="n">
        <f aca="false">IF(J19="","",J19-README!$C$4)</f>
        <v>143</v>
      </c>
      <c r="Q19" s="12" t="str">
        <f aca="false">IF(E19=0,"Out of stock",IF(E19&lt;=F19,"Low stock","OK"))</f>
        <v>OK</v>
      </c>
      <c r="R19" s="12" t="str">
        <f aca="false">IF(J19="","No expiry",IF(P19&lt;0,"Expired",IF(P19&lt;=30,"Expiring &lt;=30 days","OK")))</f>
        <v>OK</v>
      </c>
      <c r="S19" s="12"/>
    </row>
    <row r="20" customFormat="false" ht="15" hidden="false" customHeight="false" outlineLevel="0" collapsed="false">
      <c r="A20" s="12" t="s">
        <v>2592</v>
      </c>
      <c r="B20" s="12" t="s">
        <v>1195</v>
      </c>
      <c r="C20" s="12" t="s">
        <v>2127</v>
      </c>
      <c r="D20" s="12" t="s">
        <v>2128</v>
      </c>
      <c r="E20" s="12" t="n">
        <v>94</v>
      </c>
      <c r="F20" s="12" t="n">
        <v>11</v>
      </c>
      <c r="G20" s="15" t="n">
        <v>37900</v>
      </c>
      <c r="H20" s="15" t="n">
        <v>45000</v>
      </c>
      <c r="I20" s="12" t="s">
        <v>2593</v>
      </c>
      <c r="J20" s="17" t="n">
        <v>46412</v>
      </c>
      <c r="K20" s="12" t="s">
        <v>1120</v>
      </c>
      <c r="L20" s="12" t="n">
        <v>65</v>
      </c>
      <c r="M20" s="15" t="n">
        <f aca="false">E20*G20</f>
        <v>3562600</v>
      </c>
      <c r="N20" s="15" t="n">
        <f aca="false">E20*H20</f>
        <v>4230000</v>
      </c>
      <c r="O20" s="18" t="n">
        <f aca="false">IF(H20=0,"",(H20-G20)/H20)</f>
        <v>0.157777777777778</v>
      </c>
      <c r="P20" s="12" t="n">
        <f aca="false">IF(J20="","",J20-README!$C$4)</f>
        <v>90</v>
      </c>
      <c r="Q20" s="12" t="str">
        <f aca="false">IF(E20=0,"Out of stock",IF(E20&lt;=F20,"Low stock","OK"))</f>
        <v>OK</v>
      </c>
      <c r="R20" s="12" t="str">
        <f aca="false">IF(J20="","No expiry",IF(P20&lt;0,"Expired",IF(P20&lt;=30,"Expiring &lt;=30 days","OK")))</f>
        <v>OK</v>
      </c>
      <c r="S20" s="12"/>
    </row>
    <row r="21" customFormat="false" ht="15" hidden="false" customHeight="false" outlineLevel="0" collapsed="false">
      <c r="A21" s="12" t="s">
        <v>2594</v>
      </c>
      <c r="B21" s="12" t="s">
        <v>1195</v>
      </c>
      <c r="C21" s="12" t="s">
        <v>2130</v>
      </c>
      <c r="D21" s="12" t="s">
        <v>2131</v>
      </c>
      <c r="E21" s="12" t="n">
        <v>130</v>
      </c>
      <c r="F21" s="12" t="n">
        <v>11</v>
      </c>
      <c r="G21" s="15" t="n">
        <v>81900</v>
      </c>
      <c r="H21" s="15" t="n">
        <v>95000</v>
      </c>
      <c r="I21" s="12" t="s">
        <v>2595</v>
      </c>
      <c r="J21" s="17" t="n">
        <v>46355</v>
      </c>
      <c r="K21" s="12" t="s">
        <v>1120</v>
      </c>
      <c r="L21" s="12" t="n">
        <v>91</v>
      </c>
      <c r="M21" s="15" t="n">
        <f aca="false">E21*G21</f>
        <v>10647000</v>
      </c>
      <c r="N21" s="15" t="n">
        <f aca="false">E21*H21</f>
        <v>12350000</v>
      </c>
      <c r="O21" s="18" t="n">
        <f aca="false">IF(H21=0,"",(H21-G21)/H21)</f>
        <v>0.137894736842105</v>
      </c>
      <c r="P21" s="12" t="n">
        <f aca="false">IF(J21="","",J21-README!$C$4)</f>
        <v>33</v>
      </c>
      <c r="Q21" s="12" t="str">
        <f aca="false">IF(E21=0,"Out of stock",IF(E21&lt;=F21,"Low stock","OK"))</f>
        <v>OK</v>
      </c>
      <c r="R21" s="12" t="str">
        <f aca="false">IF(J21="","No expiry",IF(P21&lt;0,"Expired",IF(P21&lt;=30,"Expiring &lt;=30 days","OK")))</f>
        <v>OK</v>
      </c>
      <c r="S21" s="12"/>
    </row>
    <row r="22" customFormat="false" ht="15" hidden="false" customHeight="false" outlineLevel="0" collapsed="false">
      <c r="A22" s="12" t="s">
        <v>2596</v>
      </c>
      <c r="B22" s="12" t="s">
        <v>1195</v>
      </c>
      <c r="C22" s="12" t="s">
        <v>2133</v>
      </c>
      <c r="D22" s="12" t="s">
        <v>2134</v>
      </c>
      <c r="E22" s="12" t="n">
        <v>148</v>
      </c>
      <c r="F22" s="12" t="n">
        <v>11</v>
      </c>
      <c r="G22" s="15" t="n">
        <v>65600</v>
      </c>
      <c r="H22" s="15" t="n">
        <v>82000</v>
      </c>
      <c r="I22" s="12" t="s">
        <v>2597</v>
      </c>
      <c r="J22" s="17" t="n">
        <v>46374</v>
      </c>
      <c r="K22" s="12" t="s">
        <v>1120</v>
      </c>
      <c r="L22" s="12" t="n">
        <v>103</v>
      </c>
      <c r="M22" s="15" t="n">
        <f aca="false">E22*G22</f>
        <v>9708800</v>
      </c>
      <c r="N22" s="15" t="n">
        <f aca="false">E22*H22</f>
        <v>12136000</v>
      </c>
      <c r="O22" s="18" t="n">
        <f aca="false">IF(H22=0,"",(H22-G22)/H22)</f>
        <v>0.2</v>
      </c>
      <c r="P22" s="12" t="n">
        <f aca="false">IF(J22="","",J22-README!$C$4)</f>
        <v>52</v>
      </c>
      <c r="Q22" s="12" t="str">
        <f aca="false">IF(E22=0,"Out of stock",IF(E22&lt;=F22,"Low stock","OK"))</f>
        <v>OK</v>
      </c>
      <c r="R22" s="12" t="str">
        <f aca="false">IF(J22="","No expiry",IF(P22&lt;0,"Expired",IF(P22&lt;=30,"Expiring &lt;=30 days","OK")))</f>
        <v>OK</v>
      </c>
      <c r="S22" s="12"/>
    </row>
    <row r="23" customFormat="false" ht="15" hidden="false" customHeight="false" outlineLevel="0" collapsed="false">
      <c r="A23" s="12" t="s">
        <v>2598</v>
      </c>
      <c r="B23" s="12" t="s">
        <v>1195</v>
      </c>
      <c r="C23" s="12" t="s">
        <v>2136</v>
      </c>
      <c r="D23" s="12" t="s">
        <v>2137</v>
      </c>
      <c r="E23" s="12" t="n">
        <v>92</v>
      </c>
      <c r="F23" s="12" t="n">
        <v>11</v>
      </c>
      <c r="G23" s="15" t="n">
        <v>82500</v>
      </c>
      <c r="H23" s="15" t="n">
        <v>98000</v>
      </c>
      <c r="I23" s="12" t="s">
        <v>2599</v>
      </c>
      <c r="J23" s="17" t="n">
        <v>46377</v>
      </c>
      <c r="K23" s="12" t="s">
        <v>1111</v>
      </c>
      <c r="L23" s="12" t="n">
        <v>0</v>
      </c>
      <c r="M23" s="15" t="n">
        <f aca="false">E23*G23</f>
        <v>7590000</v>
      </c>
      <c r="N23" s="15" t="n">
        <f aca="false">E23*H23</f>
        <v>9016000</v>
      </c>
      <c r="O23" s="18" t="n">
        <f aca="false">IF(H23=0,"",(H23-G23)/H23)</f>
        <v>0.158163265306122</v>
      </c>
      <c r="P23" s="12" t="n">
        <f aca="false">IF(J23="","",J23-README!$C$4)</f>
        <v>55</v>
      </c>
      <c r="Q23" s="12" t="str">
        <f aca="false">IF(E23=0,"Out of stock",IF(E23&lt;=F23,"Low stock","OK"))</f>
        <v>OK</v>
      </c>
      <c r="R23" s="12" t="str">
        <f aca="false">IF(J23="","No expiry",IF(P23&lt;0,"Expired",IF(P23&lt;=30,"Expiring &lt;=30 days","OK")))</f>
        <v>OK</v>
      </c>
      <c r="S23" s="12"/>
    </row>
    <row r="24" customFormat="false" ht="15" hidden="false" customHeight="false" outlineLevel="0" collapsed="false">
      <c r="A24" s="12" t="s">
        <v>2600</v>
      </c>
      <c r="B24" s="12" t="s">
        <v>1195</v>
      </c>
      <c r="C24" s="12" t="s">
        <v>2139</v>
      </c>
      <c r="D24" s="12" t="s">
        <v>2140</v>
      </c>
      <c r="E24" s="12" t="n">
        <v>58</v>
      </c>
      <c r="F24" s="12" t="n">
        <v>11</v>
      </c>
      <c r="G24" s="15" t="n">
        <v>34000</v>
      </c>
      <c r="H24" s="15" t="n">
        <v>38000</v>
      </c>
      <c r="I24" s="12" t="s">
        <v>2601</v>
      </c>
      <c r="J24" s="17" t="n">
        <v>46452</v>
      </c>
      <c r="K24" s="12" t="s">
        <v>1120</v>
      </c>
      <c r="L24" s="12" t="n">
        <v>40</v>
      </c>
      <c r="M24" s="15" t="n">
        <f aca="false">E24*G24</f>
        <v>1972000</v>
      </c>
      <c r="N24" s="15" t="n">
        <f aca="false">E24*H24</f>
        <v>2204000</v>
      </c>
      <c r="O24" s="18" t="n">
        <f aca="false">IF(H24=0,"",(H24-G24)/H24)</f>
        <v>0.105263157894737</v>
      </c>
      <c r="P24" s="12" t="n">
        <f aca="false">IF(J24="","",J24-README!$C$4)</f>
        <v>130</v>
      </c>
      <c r="Q24" s="12" t="str">
        <f aca="false">IF(E24=0,"Out of stock",IF(E24&lt;=F24,"Low stock","OK"))</f>
        <v>OK</v>
      </c>
      <c r="R24" s="12" t="str">
        <f aca="false">IF(J24="","No expiry",IF(P24&lt;0,"Expired",IF(P24&lt;=30,"Expiring &lt;=30 days","OK")))</f>
        <v>OK</v>
      </c>
      <c r="S24" s="12"/>
    </row>
    <row r="25" customFormat="false" ht="15" hidden="false" customHeight="false" outlineLevel="0" collapsed="false">
      <c r="A25" s="12" t="s">
        <v>2602</v>
      </c>
      <c r="B25" s="12" t="s">
        <v>1195</v>
      </c>
      <c r="C25" s="12" t="s">
        <v>2142</v>
      </c>
      <c r="D25" s="12" t="s">
        <v>2143</v>
      </c>
      <c r="E25" s="12" t="n">
        <v>88</v>
      </c>
      <c r="F25" s="12" t="n">
        <v>11</v>
      </c>
      <c r="G25" s="15" t="n">
        <v>44100</v>
      </c>
      <c r="H25" s="15" t="n">
        <v>49000</v>
      </c>
      <c r="I25" s="12" t="s">
        <v>2603</v>
      </c>
      <c r="J25" s="17" t="n">
        <v>46405</v>
      </c>
      <c r="K25" s="12" t="s">
        <v>1120</v>
      </c>
      <c r="L25" s="12" t="n">
        <v>61</v>
      </c>
      <c r="M25" s="15" t="n">
        <f aca="false">E25*G25</f>
        <v>3880800</v>
      </c>
      <c r="N25" s="15" t="n">
        <f aca="false">E25*H25</f>
        <v>4312000</v>
      </c>
      <c r="O25" s="18" t="n">
        <f aca="false">IF(H25=0,"",(H25-G25)/H25)</f>
        <v>0.1</v>
      </c>
      <c r="P25" s="12" t="n">
        <f aca="false">IF(J25="","",J25-README!$C$4)</f>
        <v>83</v>
      </c>
      <c r="Q25" s="12" t="str">
        <f aca="false">IF(E25=0,"Out of stock",IF(E25&lt;=F25,"Low stock","OK"))</f>
        <v>OK</v>
      </c>
      <c r="R25" s="12" t="str">
        <f aca="false">IF(J25="","No expiry",IF(P25&lt;0,"Expired",IF(P25&lt;=30,"Expiring &lt;=30 days","OK")))</f>
        <v>OK</v>
      </c>
      <c r="S25" s="12"/>
    </row>
    <row r="26" customFormat="false" ht="15" hidden="false" customHeight="false" outlineLevel="0" collapsed="false">
      <c r="A26" s="12" t="s">
        <v>2604</v>
      </c>
      <c r="B26" s="12" t="s">
        <v>1195</v>
      </c>
      <c r="C26" s="12" t="s">
        <v>2145</v>
      </c>
      <c r="D26" s="12" t="s">
        <v>2146</v>
      </c>
      <c r="E26" s="12" t="n">
        <v>6</v>
      </c>
      <c r="F26" s="12" t="n">
        <v>25</v>
      </c>
      <c r="G26" s="15" t="n">
        <v>78200</v>
      </c>
      <c r="H26" s="15" t="n">
        <v>95000</v>
      </c>
      <c r="I26" s="12" t="s">
        <v>2605</v>
      </c>
      <c r="J26" s="17" t="n">
        <v>46468</v>
      </c>
      <c r="K26" s="12" t="s">
        <v>1111</v>
      </c>
      <c r="L26" s="12" t="n">
        <v>0</v>
      </c>
      <c r="M26" s="15" t="n">
        <f aca="false">E26*G26</f>
        <v>469200</v>
      </c>
      <c r="N26" s="15" t="n">
        <f aca="false">E26*H26</f>
        <v>570000</v>
      </c>
      <c r="O26" s="18" t="n">
        <f aca="false">IF(H26=0,"",(H26-G26)/H26)</f>
        <v>0.176842105263158</v>
      </c>
      <c r="P26" s="12" t="n">
        <f aca="false">IF(J26="","",J26-README!$C$4)</f>
        <v>146</v>
      </c>
      <c r="Q26" s="12" t="str">
        <f aca="false">IF(E26=0,"Out of stock",IF(E26&lt;=F26,"Low stock","OK"))</f>
        <v>Low stock</v>
      </c>
      <c r="R26" s="12" t="str">
        <f aca="false">IF(J26="","No expiry",IF(P26&lt;0,"Expired",IF(P26&lt;=30,"Expiring &lt;=30 days","OK")))</f>
        <v>OK</v>
      </c>
      <c r="S26" s="19" t="s">
        <v>2606</v>
      </c>
    </row>
    <row r="27" customFormat="false" ht="15" hidden="false" customHeight="false" outlineLevel="0" collapsed="false">
      <c r="A27" s="12" t="s">
        <v>2607</v>
      </c>
      <c r="B27" s="12" t="s">
        <v>1195</v>
      </c>
      <c r="C27" s="12" t="s">
        <v>2148</v>
      </c>
      <c r="D27" s="12" t="s">
        <v>2149</v>
      </c>
      <c r="E27" s="12" t="n">
        <v>72</v>
      </c>
      <c r="F27" s="12" t="n">
        <v>11</v>
      </c>
      <c r="G27" s="15" t="n">
        <v>86600</v>
      </c>
      <c r="H27" s="15" t="n">
        <v>105000</v>
      </c>
      <c r="I27" s="12" t="s">
        <v>2608</v>
      </c>
      <c r="J27" s="17" t="n">
        <v>46361</v>
      </c>
      <c r="K27" s="12" t="s">
        <v>1120</v>
      </c>
      <c r="L27" s="12" t="n">
        <v>50</v>
      </c>
      <c r="M27" s="15" t="n">
        <f aca="false">E27*G27</f>
        <v>6235200</v>
      </c>
      <c r="N27" s="15" t="n">
        <f aca="false">E27*H27</f>
        <v>7560000</v>
      </c>
      <c r="O27" s="18" t="n">
        <f aca="false">IF(H27=0,"",(H27-G27)/H27)</f>
        <v>0.175238095238095</v>
      </c>
      <c r="P27" s="12" t="n">
        <f aca="false">IF(J27="","",J27-README!$C$4)</f>
        <v>39</v>
      </c>
      <c r="Q27" s="12" t="str">
        <f aca="false">IF(E27=0,"Out of stock",IF(E27&lt;=F27,"Low stock","OK"))</f>
        <v>OK</v>
      </c>
      <c r="R27" s="12" t="str">
        <f aca="false">IF(J27="","No expiry",IF(P27&lt;0,"Expired",IF(P27&lt;=30,"Expiring &lt;=30 days","OK")))</f>
        <v>OK</v>
      </c>
      <c r="S27" s="12"/>
    </row>
    <row r="28" customFormat="false" ht="15" hidden="false" customHeight="false" outlineLevel="0" collapsed="false">
      <c r="A28" s="12" t="s">
        <v>2609</v>
      </c>
      <c r="B28" s="12" t="s">
        <v>1195</v>
      </c>
      <c r="C28" s="12" t="s">
        <v>2151</v>
      </c>
      <c r="D28" s="12" t="s">
        <v>2152</v>
      </c>
      <c r="E28" s="12" t="n">
        <v>118</v>
      </c>
      <c r="F28" s="12" t="n">
        <v>11</v>
      </c>
      <c r="G28" s="15" t="n">
        <v>82000</v>
      </c>
      <c r="H28" s="15" t="n">
        <v>92000</v>
      </c>
      <c r="I28" s="12" t="s">
        <v>2610</v>
      </c>
      <c r="J28" s="17" t="n">
        <v>46467</v>
      </c>
      <c r="K28" s="12" t="s">
        <v>1120</v>
      </c>
      <c r="L28" s="12" t="n">
        <v>82</v>
      </c>
      <c r="M28" s="15" t="n">
        <f aca="false">E28*G28</f>
        <v>9676000</v>
      </c>
      <c r="N28" s="15" t="n">
        <f aca="false">E28*H28</f>
        <v>10856000</v>
      </c>
      <c r="O28" s="18" t="n">
        <f aca="false">IF(H28=0,"",(H28-G28)/H28)</f>
        <v>0.108695652173913</v>
      </c>
      <c r="P28" s="12" t="n">
        <f aca="false">IF(J28="","",J28-README!$C$4)</f>
        <v>145</v>
      </c>
      <c r="Q28" s="12" t="str">
        <f aca="false">IF(E28=0,"Out of stock",IF(E28&lt;=F28,"Low stock","OK"))</f>
        <v>OK</v>
      </c>
      <c r="R28" s="12" t="str">
        <f aca="false">IF(J28="","No expiry",IF(P28&lt;0,"Expired",IF(P28&lt;=30,"Expiring &lt;=30 days","OK")))</f>
        <v>OK</v>
      </c>
      <c r="S28" s="12"/>
    </row>
    <row r="29" customFormat="false" ht="15" hidden="false" customHeight="false" outlineLevel="0" collapsed="false">
      <c r="A29" s="12" t="s">
        <v>2611</v>
      </c>
      <c r="B29" s="12" t="s">
        <v>1195</v>
      </c>
      <c r="C29" s="12" t="s">
        <v>2154</v>
      </c>
      <c r="D29" s="12" t="s">
        <v>2155</v>
      </c>
      <c r="E29" s="12" t="n">
        <v>90</v>
      </c>
      <c r="F29" s="12" t="n">
        <v>11</v>
      </c>
      <c r="G29" s="15" t="n">
        <v>57800</v>
      </c>
      <c r="H29" s="15" t="n">
        <v>70000</v>
      </c>
      <c r="I29" s="12" t="s">
        <v>2612</v>
      </c>
      <c r="J29" s="17" t="n">
        <v>46472</v>
      </c>
      <c r="K29" s="12" t="s">
        <v>1120</v>
      </c>
      <c r="L29" s="12" t="n">
        <v>62</v>
      </c>
      <c r="M29" s="15" t="n">
        <f aca="false">E29*G29</f>
        <v>5202000</v>
      </c>
      <c r="N29" s="15" t="n">
        <f aca="false">E29*H29</f>
        <v>6300000</v>
      </c>
      <c r="O29" s="18" t="n">
        <f aca="false">IF(H29=0,"",(H29-G29)/H29)</f>
        <v>0.174285714285714</v>
      </c>
      <c r="P29" s="12" t="n">
        <f aca="false">IF(J29="","",J29-README!$C$4)</f>
        <v>150</v>
      </c>
      <c r="Q29" s="12" t="str">
        <f aca="false">IF(E29=0,"Out of stock",IF(E29&lt;=F29,"Low stock","OK"))</f>
        <v>OK</v>
      </c>
      <c r="R29" s="12" t="str">
        <f aca="false">IF(J29="","No expiry",IF(P29&lt;0,"Expired",IF(P29&lt;=30,"Expiring &lt;=30 days","OK")))</f>
        <v>OK</v>
      </c>
      <c r="S29" s="12"/>
    </row>
    <row r="30" customFormat="false" ht="15" hidden="false" customHeight="false" outlineLevel="0" collapsed="false">
      <c r="A30" s="12" t="s">
        <v>2613</v>
      </c>
      <c r="B30" s="12" t="s">
        <v>1195</v>
      </c>
      <c r="C30" s="12" t="s">
        <v>2161</v>
      </c>
      <c r="D30" s="12" t="s">
        <v>2163</v>
      </c>
      <c r="E30" s="12" t="n">
        <v>152</v>
      </c>
      <c r="F30" s="12" t="n">
        <v>11</v>
      </c>
      <c r="G30" s="15" t="n">
        <v>35400</v>
      </c>
      <c r="H30" s="15" t="n">
        <v>42000</v>
      </c>
      <c r="I30" s="12" t="s">
        <v>2614</v>
      </c>
      <c r="J30" s="17" t="n">
        <v>46656</v>
      </c>
      <c r="K30" s="12" t="s">
        <v>1120</v>
      </c>
      <c r="L30" s="12" t="n">
        <v>106</v>
      </c>
      <c r="M30" s="15" t="n">
        <f aca="false">E30*G30</f>
        <v>5380800</v>
      </c>
      <c r="N30" s="15" t="n">
        <f aca="false">E30*H30</f>
        <v>6384000</v>
      </c>
      <c r="O30" s="18" t="n">
        <f aca="false">IF(H30=0,"",(H30-G30)/H30)</f>
        <v>0.157142857142857</v>
      </c>
      <c r="P30" s="12" t="n">
        <f aca="false">IF(J30="","",J30-README!$C$4)</f>
        <v>334</v>
      </c>
      <c r="Q30" s="12" t="str">
        <f aca="false">IF(E30=0,"Out of stock",IF(E30&lt;=F30,"Low stock","OK"))</f>
        <v>OK</v>
      </c>
      <c r="R30" s="12" t="str">
        <f aca="false">IF(J30="","No expiry",IF(P30&lt;0,"Expired",IF(P30&lt;=30,"Expiring &lt;=30 days","OK")))</f>
        <v>OK</v>
      </c>
      <c r="S30" s="12"/>
    </row>
    <row r="31" customFormat="false" ht="15" hidden="false" customHeight="false" outlineLevel="0" collapsed="false">
      <c r="A31" s="12" t="s">
        <v>2615</v>
      </c>
      <c r="B31" s="12" t="s">
        <v>1195</v>
      </c>
      <c r="C31" s="12" t="s">
        <v>2165</v>
      </c>
      <c r="D31" s="12" t="s">
        <v>2166</v>
      </c>
      <c r="E31" s="12" t="n">
        <v>59</v>
      </c>
      <c r="F31" s="12" t="n">
        <v>8</v>
      </c>
      <c r="G31" s="15" t="n">
        <v>7300</v>
      </c>
      <c r="H31" s="15" t="n">
        <v>8500</v>
      </c>
      <c r="I31" s="12" t="s">
        <v>2616</v>
      </c>
      <c r="J31" s="17" t="n">
        <v>46626</v>
      </c>
      <c r="K31" s="12" t="s">
        <v>1120</v>
      </c>
      <c r="L31" s="12" t="n">
        <v>41</v>
      </c>
      <c r="M31" s="15" t="n">
        <f aca="false">E31*G31</f>
        <v>430700</v>
      </c>
      <c r="N31" s="15" t="n">
        <f aca="false">E31*H31</f>
        <v>501500</v>
      </c>
      <c r="O31" s="18" t="n">
        <f aca="false">IF(H31=0,"",(H31-G31)/H31)</f>
        <v>0.141176470588235</v>
      </c>
      <c r="P31" s="12" t="n">
        <f aca="false">IF(J31="","",J31-README!$C$4)</f>
        <v>304</v>
      </c>
      <c r="Q31" s="12" t="str">
        <f aca="false">IF(E31=0,"Out of stock",IF(E31&lt;=F31,"Low stock","OK"))</f>
        <v>OK</v>
      </c>
      <c r="R31" s="12" t="str">
        <f aca="false">IF(J31="","No expiry",IF(P31&lt;0,"Expired",IF(P31&lt;=30,"Expiring &lt;=30 days","OK")))</f>
        <v>OK</v>
      </c>
      <c r="S31" s="12"/>
    </row>
    <row r="32" customFormat="false" ht="15" hidden="false" customHeight="false" outlineLevel="0" collapsed="false">
      <c r="A32" s="12" t="s">
        <v>2617</v>
      </c>
      <c r="B32" s="12" t="s">
        <v>1195</v>
      </c>
      <c r="C32" s="12" t="s">
        <v>2168</v>
      </c>
      <c r="D32" s="12" t="s">
        <v>2169</v>
      </c>
      <c r="E32" s="12" t="n">
        <v>52</v>
      </c>
      <c r="F32" s="12" t="n">
        <v>11</v>
      </c>
      <c r="G32" s="15" t="n">
        <v>35700</v>
      </c>
      <c r="H32" s="15" t="n">
        <v>40000</v>
      </c>
      <c r="I32" s="12" t="s">
        <v>2618</v>
      </c>
      <c r="J32" s="17" t="n">
        <v>46576</v>
      </c>
      <c r="K32" s="12" t="s">
        <v>1120</v>
      </c>
      <c r="L32" s="12" t="n">
        <v>36</v>
      </c>
      <c r="M32" s="15" t="n">
        <f aca="false">E32*G32</f>
        <v>1856400</v>
      </c>
      <c r="N32" s="15" t="n">
        <f aca="false">E32*H32</f>
        <v>2080000</v>
      </c>
      <c r="O32" s="18" t="n">
        <f aca="false">IF(H32=0,"",(H32-G32)/H32)</f>
        <v>0.1075</v>
      </c>
      <c r="P32" s="12" t="n">
        <f aca="false">IF(J32="","",J32-README!$C$4)</f>
        <v>254</v>
      </c>
      <c r="Q32" s="12" t="str">
        <f aca="false">IF(E32=0,"Out of stock",IF(E32&lt;=F32,"Low stock","OK"))</f>
        <v>OK</v>
      </c>
      <c r="R32" s="12" t="str">
        <f aca="false">IF(J32="","No expiry",IF(P32&lt;0,"Expired",IF(P32&lt;=30,"Expiring &lt;=30 days","OK")))</f>
        <v>OK</v>
      </c>
      <c r="S32" s="12"/>
    </row>
    <row r="33" customFormat="false" ht="15" hidden="false" customHeight="false" outlineLevel="0" collapsed="false">
      <c r="A33" s="12" t="s">
        <v>2619</v>
      </c>
      <c r="B33" s="12" t="s">
        <v>1195</v>
      </c>
      <c r="C33" s="12" t="s">
        <v>2171</v>
      </c>
      <c r="D33" s="12" t="s">
        <v>2172</v>
      </c>
      <c r="E33" s="12" t="n">
        <v>23</v>
      </c>
      <c r="F33" s="12" t="n">
        <v>8</v>
      </c>
      <c r="G33" s="15" t="n">
        <v>7300</v>
      </c>
      <c r="H33" s="15" t="n">
        <v>8500</v>
      </c>
      <c r="I33" s="12" t="s">
        <v>2620</v>
      </c>
      <c r="J33" s="17" t="n">
        <v>46490</v>
      </c>
      <c r="K33" s="12" t="s">
        <v>1111</v>
      </c>
      <c r="L33" s="12" t="n">
        <v>0</v>
      </c>
      <c r="M33" s="15" t="n">
        <f aca="false">E33*G33</f>
        <v>167900</v>
      </c>
      <c r="N33" s="15" t="n">
        <f aca="false">E33*H33</f>
        <v>195500</v>
      </c>
      <c r="O33" s="18" t="n">
        <f aca="false">IF(H33=0,"",(H33-G33)/H33)</f>
        <v>0.141176470588235</v>
      </c>
      <c r="P33" s="12" t="n">
        <f aca="false">IF(J33="","",J33-README!$C$4)</f>
        <v>168</v>
      </c>
      <c r="Q33" s="12" t="str">
        <f aca="false">IF(E33=0,"Out of stock",IF(E33&lt;=F33,"Low stock","OK"))</f>
        <v>OK</v>
      </c>
      <c r="R33" s="12" t="str">
        <f aca="false">IF(J33="","No expiry",IF(P33&lt;0,"Expired",IF(P33&lt;=30,"Expiring &lt;=30 days","OK")))</f>
        <v>OK</v>
      </c>
      <c r="S33" s="12"/>
    </row>
    <row r="34" customFormat="false" ht="15" hidden="false" customHeight="false" outlineLevel="0" collapsed="false">
      <c r="A34" s="12" t="s">
        <v>2621</v>
      </c>
      <c r="B34" s="12" t="s">
        <v>1195</v>
      </c>
      <c r="C34" s="12" t="s">
        <v>2174</v>
      </c>
      <c r="D34" s="12" t="s">
        <v>2175</v>
      </c>
      <c r="E34" s="12" t="n">
        <v>86</v>
      </c>
      <c r="F34" s="12" t="n">
        <v>11</v>
      </c>
      <c r="G34" s="15" t="n">
        <v>34800</v>
      </c>
      <c r="H34" s="15" t="n">
        <v>40000</v>
      </c>
      <c r="I34" s="12" t="s">
        <v>2622</v>
      </c>
      <c r="J34" s="17" t="n">
        <v>46473</v>
      </c>
      <c r="K34" s="12" t="s">
        <v>1120</v>
      </c>
      <c r="L34" s="12" t="n">
        <v>60</v>
      </c>
      <c r="M34" s="15" t="n">
        <f aca="false">E34*G34</f>
        <v>2992800</v>
      </c>
      <c r="N34" s="15" t="n">
        <f aca="false">E34*H34</f>
        <v>3440000</v>
      </c>
      <c r="O34" s="18" t="n">
        <f aca="false">IF(H34=0,"",(H34-G34)/H34)</f>
        <v>0.13</v>
      </c>
      <c r="P34" s="12" t="n">
        <f aca="false">IF(J34="","",J34-README!$C$4)</f>
        <v>151</v>
      </c>
      <c r="Q34" s="12" t="str">
        <f aca="false">IF(E34=0,"Out of stock",IF(E34&lt;=F34,"Low stock","OK"))</f>
        <v>OK</v>
      </c>
      <c r="R34" s="12" t="str">
        <f aca="false">IF(J34="","No expiry",IF(P34&lt;0,"Expired",IF(P34&lt;=30,"Expiring &lt;=30 days","OK")))</f>
        <v>OK</v>
      </c>
      <c r="S34" s="12"/>
    </row>
    <row r="35" customFormat="false" ht="15" hidden="false" customHeight="false" outlineLevel="0" collapsed="false">
      <c r="A35" s="12" t="s">
        <v>2623</v>
      </c>
      <c r="B35" s="12" t="s">
        <v>1195</v>
      </c>
      <c r="C35" s="12" t="s">
        <v>2177</v>
      </c>
      <c r="D35" s="12" t="s">
        <v>2178</v>
      </c>
      <c r="E35" s="12" t="n">
        <v>154</v>
      </c>
      <c r="F35" s="12" t="n">
        <v>11</v>
      </c>
      <c r="G35" s="15" t="n">
        <v>15100</v>
      </c>
      <c r="H35" s="15" t="n">
        <v>18000</v>
      </c>
      <c r="I35" s="12" t="s">
        <v>2624</v>
      </c>
      <c r="J35" s="17" t="n">
        <v>46463</v>
      </c>
      <c r="K35" s="12" t="s">
        <v>1120</v>
      </c>
      <c r="L35" s="12" t="n">
        <v>107</v>
      </c>
      <c r="M35" s="15" t="n">
        <f aca="false">E35*G35</f>
        <v>2325400</v>
      </c>
      <c r="N35" s="15" t="n">
        <f aca="false">E35*H35</f>
        <v>2772000</v>
      </c>
      <c r="O35" s="18" t="n">
        <f aca="false">IF(H35=0,"",(H35-G35)/H35)</f>
        <v>0.161111111111111</v>
      </c>
      <c r="P35" s="12" t="n">
        <f aca="false">IF(J35="","",J35-README!$C$4)</f>
        <v>141</v>
      </c>
      <c r="Q35" s="12" t="str">
        <f aca="false">IF(E35=0,"Out of stock",IF(E35&lt;=F35,"Low stock","OK"))</f>
        <v>OK</v>
      </c>
      <c r="R35" s="12" t="str">
        <f aca="false">IF(J35="","No expiry",IF(P35&lt;0,"Expired",IF(P35&lt;=30,"Expiring &lt;=30 days","OK")))</f>
        <v>OK</v>
      </c>
      <c r="S35" s="12"/>
    </row>
    <row r="36" customFormat="false" ht="15" hidden="false" customHeight="false" outlineLevel="0" collapsed="false">
      <c r="A36" s="12" t="s">
        <v>2625</v>
      </c>
      <c r="B36" s="12" t="s">
        <v>1195</v>
      </c>
      <c r="C36" s="12" t="s">
        <v>2180</v>
      </c>
      <c r="D36" s="12" t="s">
        <v>2181</v>
      </c>
      <c r="E36" s="12" t="n">
        <v>60</v>
      </c>
      <c r="F36" s="12" t="n">
        <v>11</v>
      </c>
      <c r="G36" s="15" t="n">
        <v>31300</v>
      </c>
      <c r="H36" s="15" t="n">
        <v>38000</v>
      </c>
      <c r="I36" s="12" t="s">
        <v>2626</v>
      </c>
      <c r="J36" s="17" t="n">
        <v>46426</v>
      </c>
      <c r="K36" s="12" t="s">
        <v>1120</v>
      </c>
      <c r="L36" s="12" t="n">
        <v>42</v>
      </c>
      <c r="M36" s="15" t="n">
        <f aca="false">E36*G36</f>
        <v>1878000</v>
      </c>
      <c r="N36" s="15" t="n">
        <f aca="false">E36*H36</f>
        <v>2280000</v>
      </c>
      <c r="O36" s="18" t="n">
        <f aca="false">IF(H36=0,"",(H36-G36)/H36)</f>
        <v>0.176315789473684</v>
      </c>
      <c r="P36" s="12" t="n">
        <f aca="false">IF(J36="","",J36-README!$C$4)</f>
        <v>104</v>
      </c>
      <c r="Q36" s="12" t="str">
        <f aca="false">IF(E36=0,"Out of stock",IF(E36&lt;=F36,"Low stock","OK"))</f>
        <v>OK</v>
      </c>
      <c r="R36" s="12" t="str">
        <f aca="false">IF(J36="","No expiry",IF(P36&lt;0,"Expired",IF(P36&lt;=30,"Expiring &lt;=30 days","OK")))</f>
        <v>OK</v>
      </c>
      <c r="S36" s="12"/>
    </row>
    <row r="37" customFormat="false" ht="15" hidden="false" customHeight="false" outlineLevel="0" collapsed="false">
      <c r="A37" s="12" t="s">
        <v>2627</v>
      </c>
      <c r="B37" s="12" t="s">
        <v>1195</v>
      </c>
      <c r="C37" s="12" t="s">
        <v>2183</v>
      </c>
      <c r="D37" s="12" t="s">
        <v>2184</v>
      </c>
      <c r="E37" s="12" t="n">
        <v>68</v>
      </c>
      <c r="F37" s="12" t="n">
        <v>11</v>
      </c>
      <c r="G37" s="15" t="n">
        <v>85900</v>
      </c>
      <c r="H37" s="15" t="n">
        <v>105000</v>
      </c>
      <c r="I37" s="12" t="s">
        <v>2628</v>
      </c>
      <c r="J37" s="17" t="n">
        <v>46395</v>
      </c>
      <c r="K37" s="12" t="s">
        <v>1120</v>
      </c>
      <c r="L37" s="12" t="n">
        <v>47</v>
      </c>
      <c r="M37" s="15" t="n">
        <f aca="false">E37*G37</f>
        <v>5841200</v>
      </c>
      <c r="N37" s="15" t="n">
        <f aca="false">E37*H37</f>
        <v>7140000</v>
      </c>
      <c r="O37" s="18" t="n">
        <f aca="false">IF(H37=0,"",(H37-G37)/H37)</f>
        <v>0.181904761904762</v>
      </c>
      <c r="P37" s="12" t="n">
        <f aca="false">IF(J37="","",J37-README!$C$4)</f>
        <v>73</v>
      </c>
      <c r="Q37" s="12" t="str">
        <f aca="false">IF(E37=0,"Out of stock",IF(E37&lt;=F37,"Low stock","OK"))</f>
        <v>OK</v>
      </c>
      <c r="R37" s="12" t="str">
        <f aca="false">IF(J37="","No expiry",IF(P37&lt;0,"Expired",IF(P37&lt;=30,"Expiring &lt;=30 days","OK")))</f>
        <v>OK</v>
      </c>
      <c r="S37" s="12"/>
    </row>
    <row r="38" customFormat="false" ht="15" hidden="false" customHeight="false" outlineLevel="0" collapsed="false">
      <c r="A38" s="12" t="s">
        <v>2629</v>
      </c>
      <c r="B38" s="12" t="s">
        <v>1195</v>
      </c>
      <c r="C38" s="12" t="s">
        <v>2186</v>
      </c>
      <c r="D38" s="12" t="s">
        <v>2187</v>
      </c>
      <c r="E38" s="12" t="n">
        <v>34</v>
      </c>
      <c r="F38" s="12" t="n">
        <v>11</v>
      </c>
      <c r="G38" s="15" t="n">
        <v>54400</v>
      </c>
      <c r="H38" s="15" t="n">
        <v>62000</v>
      </c>
      <c r="I38" s="12" t="s">
        <v>2630</v>
      </c>
      <c r="J38" s="17" t="n">
        <v>46376</v>
      </c>
      <c r="K38" s="12" t="s">
        <v>1120</v>
      </c>
      <c r="L38" s="12" t="n">
        <v>23</v>
      </c>
      <c r="M38" s="15" t="n">
        <f aca="false">E38*G38</f>
        <v>1849600</v>
      </c>
      <c r="N38" s="15" t="n">
        <f aca="false">E38*H38</f>
        <v>2108000</v>
      </c>
      <c r="O38" s="18" t="n">
        <f aca="false">IF(H38=0,"",(H38-G38)/H38)</f>
        <v>0.12258064516129</v>
      </c>
      <c r="P38" s="12" t="n">
        <f aca="false">IF(J38="","",J38-README!$C$4)</f>
        <v>54</v>
      </c>
      <c r="Q38" s="12" t="str">
        <f aca="false">IF(E38=0,"Out of stock",IF(E38&lt;=F38,"Low stock","OK"))</f>
        <v>OK</v>
      </c>
      <c r="R38" s="12" t="str">
        <f aca="false">IF(J38="","No expiry",IF(P38&lt;0,"Expired",IF(P38&lt;=30,"Expiring &lt;=30 days","OK")))</f>
        <v>OK</v>
      </c>
      <c r="S38" s="12"/>
    </row>
    <row r="39" customFormat="false" ht="15" hidden="false" customHeight="false" outlineLevel="0" collapsed="false">
      <c r="A39" s="12" t="s">
        <v>2631</v>
      </c>
      <c r="B39" s="12" t="s">
        <v>1195</v>
      </c>
      <c r="C39" s="12" t="s">
        <v>2189</v>
      </c>
      <c r="D39" s="12" t="s">
        <v>2190</v>
      </c>
      <c r="E39" s="12" t="n">
        <v>80</v>
      </c>
      <c r="F39" s="12" t="n">
        <v>11</v>
      </c>
      <c r="G39" s="15" t="n">
        <v>108000</v>
      </c>
      <c r="H39" s="15" t="n">
        <v>120000</v>
      </c>
      <c r="I39" s="12" t="s">
        <v>2632</v>
      </c>
      <c r="J39" s="17" t="n">
        <v>46371</v>
      </c>
      <c r="K39" s="12" t="s">
        <v>1120</v>
      </c>
      <c r="L39" s="12" t="n">
        <v>56</v>
      </c>
      <c r="M39" s="15" t="n">
        <f aca="false">E39*G39</f>
        <v>8640000</v>
      </c>
      <c r="N39" s="15" t="n">
        <f aca="false">E39*H39</f>
        <v>9600000</v>
      </c>
      <c r="O39" s="18" t="n">
        <f aca="false">IF(H39=0,"",(H39-G39)/H39)</f>
        <v>0.1</v>
      </c>
      <c r="P39" s="12" t="n">
        <f aca="false">IF(J39="","",J39-README!$C$4)</f>
        <v>49</v>
      </c>
      <c r="Q39" s="12" t="str">
        <f aca="false">IF(E39=0,"Out of stock",IF(E39&lt;=F39,"Low stock","OK"))</f>
        <v>OK</v>
      </c>
      <c r="R39" s="12" t="str">
        <f aca="false">IF(J39="","No expiry",IF(P39&lt;0,"Expired",IF(P39&lt;=30,"Expiring &lt;=30 days","OK")))</f>
        <v>OK</v>
      </c>
      <c r="S39" s="12"/>
    </row>
    <row r="40" customFormat="false" ht="15" hidden="false" customHeight="false" outlineLevel="0" collapsed="false">
      <c r="A40" s="12" t="s">
        <v>2633</v>
      </c>
      <c r="B40" s="12" t="s">
        <v>1195</v>
      </c>
      <c r="C40" s="12" t="s">
        <v>2192</v>
      </c>
      <c r="D40" s="12" t="s">
        <v>2193</v>
      </c>
      <c r="E40" s="12" t="n">
        <v>104</v>
      </c>
      <c r="F40" s="12" t="n">
        <v>11</v>
      </c>
      <c r="G40" s="15" t="n">
        <v>12600</v>
      </c>
      <c r="H40" s="15" t="n">
        <v>15000</v>
      </c>
      <c r="I40" s="12" t="s">
        <v>2634</v>
      </c>
      <c r="J40" s="17" t="n">
        <v>46484</v>
      </c>
      <c r="K40" s="12" t="s">
        <v>1120</v>
      </c>
      <c r="L40" s="12" t="n">
        <v>72</v>
      </c>
      <c r="M40" s="15" t="n">
        <f aca="false">E40*G40</f>
        <v>1310400</v>
      </c>
      <c r="N40" s="15" t="n">
        <f aca="false">E40*H40</f>
        <v>1560000</v>
      </c>
      <c r="O40" s="18" t="n">
        <f aca="false">IF(H40=0,"",(H40-G40)/H40)</f>
        <v>0.16</v>
      </c>
      <c r="P40" s="12" t="n">
        <f aca="false">IF(J40="","",J40-README!$C$4)</f>
        <v>162</v>
      </c>
      <c r="Q40" s="12" t="str">
        <f aca="false">IF(E40=0,"Out of stock",IF(E40&lt;=F40,"Low stock","OK"))</f>
        <v>OK</v>
      </c>
      <c r="R40" s="12" t="str">
        <f aca="false">IF(J40="","No expiry",IF(P40&lt;0,"Expired",IF(P40&lt;=30,"Expiring &lt;=30 days","OK")))</f>
        <v>OK</v>
      </c>
      <c r="S40" s="12"/>
    </row>
    <row r="41" customFormat="false" ht="15" hidden="false" customHeight="false" outlineLevel="0" collapsed="false">
      <c r="A41" s="12" t="s">
        <v>2635</v>
      </c>
      <c r="B41" s="12" t="s">
        <v>1195</v>
      </c>
      <c r="C41" s="12" t="s">
        <v>2195</v>
      </c>
      <c r="D41" s="12" t="s">
        <v>2196</v>
      </c>
      <c r="E41" s="12" t="n">
        <v>110</v>
      </c>
      <c r="F41" s="12" t="n">
        <v>11</v>
      </c>
      <c r="G41" s="15" t="n">
        <v>61200</v>
      </c>
      <c r="H41" s="15" t="n">
        <v>75000</v>
      </c>
      <c r="I41" s="12" t="s">
        <v>2636</v>
      </c>
      <c r="J41" s="17" t="n">
        <v>46418</v>
      </c>
      <c r="K41" s="12" t="s">
        <v>1120</v>
      </c>
      <c r="L41" s="12" t="n">
        <v>77</v>
      </c>
      <c r="M41" s="15" t="n">
        <f aca="false">E41*G41</f>
        <v>6732000</v>
      </c>
      <c r="N41" s="15" t="n">
        <f aca="false">E41*H41</f>
        <v>8250000</v>
      </c>
      <c r="O41" s="18" t="n">
        <f aca="false">IF(H41=0,"",(H41-G41)/H41)</f>
        <v>0.184</v>
      </c>
      <c r="P41" s="12" t="n">
        <f aca="false">IF(J41="","",J41-README!$C$4)</f>
        <v>96</v>
      </c>
      <c r="Q41" s="12" t="str">
        <f aca="false">IF(E41=0,"Out of stock",IF(E41&lt;=F41,"Low stock","OK"))</f>
        <v>OK</v>
      </c>
      <c r="R41" s="12" t="str">
        <f aca="false">IF(J41="","No expiry",IF(P41&lt;0,"Expired",IF(P41&lt;=30,"Expiring &lt;=30 days","OK")))</f>
        <v>OK</v>
      </c>
      <c r="S41" s="12"/>
    </row>
    <row r="42" customFormat="false" ht="15" hidden="false" customHeight="false" outlineLevel="0" collapsed="false">
      <c r="A42" s="12" t="s">
        <v>2637</v>
      </c>
      <c r="B42" s="12" t="s">
        <v>1195</v>
      </c>
      <c r="C42" s="12" t="s">
        <v>2198</v>
      </c>
      <c r="D42" s="12" t="s">
        <v>2199</v>
      </c>
      <c r="E42" s="12" t="n">
        <v>152</v>
      </c>
      <c r="F42" s="12" t="n">
        <v>11</v>
      </c>
      <c r="G42" s="15" t="n">
        <v>34700</v>
      </c>
      <c r="H42" s="15" t="n">
        <v>40000</v>
      </c>
      <c r="I42" s="12" t="s">
        <v>2638</v>
      </c>
      <c r="J42" s="17" t="n">
        <v>46511</v>
      </c>
      <c r="K42" s="12" t="s">
        <v>1120</v>
      </c>
      <c r="L42" s="12" t="n">
        <v>106</v>
      </c>
      <c r="M42" s="15" t="n">
        <f aca="false">E42*G42</f>
        <v>5274400</v>
      </c>
      <c r="N42" s="15" t="n">
        <f aca="false">E42*H42</f>
        <v>6080000</v>
      </c>
      <c r="O42" s="18" t="n">
        <f aca="false">IF(H42=0,"",(H42-G42)/H42)</f>
        <v>0.1325</v>
      </c>
      <c r="P42" s="12" t="n">
        <f aca="false">IF(J42="","",J42-README!$C$4)</f>
        <v>189</v>
      </c>
      <c r="Q42" s="12" t="str">
        <f aca="false">IF(E42=0,"Out of stock",IF(E42&lt;=F42,"Low stock","OK"))</f>
        <v>OK</v>
      </c>
      <c r="R42" s="12" t="str">
        <f aca="false">IF(J42="","No expiry",IF(P42&lt;0,"Expired",IF(P42&lt;=30,"Expiring &lt;=30 days","OK")))</f>
        <v>OK</v>
      </c>
      <c r="S42" s="12"/>
    </row>
    <row r="43" customFormat="false" ht="15" hidden="false" customHeight="false" outlineLevel="0" collapsed="false">
      <c r="A43" s="12" t="s">
        <v>2639</v>
      </c>
      <c r="B43" s="12" t="s">
        <v>1195</v>
      </c>
      <c r="C43" s="12" t="s">
        <v>2212</v>
      </c>
      <c r="D43" s="12" t="s">
        <v>2214</v>
      </c>
      <c r="E43" s="12" t="n">
        <v>124</v>
      </c>
      <c r="F43" s="12" t="n">
        <v>28</v>
      </c>
      <c r="G43" s="15" t="n">
        <v>3400</v>
      </c>
      <c r="H43" s="15" t="n">
        <v>4000</v>
      </c>
      <c r="I43" s="12" t="s">
        <v>2640</v>
      </c>
      <c r="J43" s="17" t="n">
        <v>46334</v>
      </c>
      <c r="K43" s="12" t="s">
        <v>1120</v>
      </c>
      <c r="L43" s="12" t="n">
        <v>86</v>
      </c>
      <c r="M43" s="15" t="n">
        <f aca="false">E43*G43</f>
        <v>421600</v>
      </c>
      <c r="N43" s="15" t="n">
        <f aca="false">E43*H43</f>
        <v>496000</v>
      </c>
      <c r="O43" s="18" t="n">
        <f aca="false">IF(H43=0,"",(H43-G43)/H43)</f>
        <v>0.15</v>
      </c>
      <c r="P43" s="12" t="n">
        <f aca="false">IF(J43="","",J43-README!$C$4)</f>
        <v>12</v>
      </c>
      <c r="Q43" s="12" t="str">
        <f aca="false">IF(E43=0,"Out of stock",IF(E43&lt;=F43,"Low stock","OK"))</f>
        <v>OK</v>
      </c>
      <c r="R43" s="12" t="str">
        <f aca="false">IF(J43="","No expiry",IF(P43&lt;0,"Expired",IF(P43&lt;=30,"Expiring &lt;=30 days","OK")))</f>
        <v>Expiring &lt;=30 days</v>
      </c>
      <c r="S43" s="19" t="s">
        <v>2641</v>
      </c>
    </row>
    <row r="44" customFormat="false" ht="15" hidden="false" customHeight="false" outlineLevel="0" collapsed="false">
      <c r="A44" s="12" t="s">
        <v>2642</v>
      </c>
      <c r="B44" s="12" t="s">
        <v>1195</v>
      </c>
      <c r="C44" s="12" t="s">
        <v>2216</v>
      </c>
      <c r="D44" s="12" t="s">
        <v>2218</v>
      </c>
      <c r="E44" s="12" t="n">
        <v>92</v>
      </c>
      <c r="F44" s="12" t="n">
        <v>28</v>
      </c>
      <c r="G44" s="15" t="n">
        <v>8100</v>
      </c>
      <c r="H44" s="15" t="n">
        <v>9000</v>
      </c>
      <c r="I44" s="12" t="s">
        <v>2643</v>
      </c>
      <c r="J44" s="17" t="n">
        <v>46678</v>
      </c>
      <c r="K44" s="12" t="s">
        <v>1120</v>
      </c>
      <c r="L44" s="12" t="n">
        <v>64</v>
      </c>
      <c r="M44" s="15" t="n">
        <f aca="false">E44*G44</f>
        <v>745200</v>
      </c>
      <c r="N44" s="15" t="n">
        <f aca="false">E44*H44</f>
        <v>828000</v>
      </c>
      <c r="O44" s="18" t="n">
        <f aca="false">IF(H44=0,"",(H44-G44)/H44)</f>
        <v>0.1</v>
      </c>
      <c r="P44" s="12" t="n">
        <f aca="false">IF(J44="","",J44-README!$C$4)</f>
        <v>356</v>
      </c>
      <c r="Q44" s="12" t="str">
        <f aca="false">IF(E44=0,"Out of stock",IF(E44&lt;=F44,"Low stock","OK"))</f>
        <v>OK</v>
      </c>
      <c r="R44" s="12" t="str">
        <f aca="false">IF(J44="","No expiry",IF(P44&lt;0,"Expired",IF(P44&lt;=30,"Expiring &lt;=30 days","OK")))</f>
        <v>OK</v>
      </c>
      <c r="S44" s="12"/>
    </row>
    <row r="45" customFormat="false" ht="15" hidden="false" customHeight="false" outlineLevel="0" collapsed="false">
      <c r="A45" s="12" t="s">
        <v>2644</v>
      </c>
      <c r="B45" s="12" t="s">
        <v>1195</v>
      </c>
      <c r="C45" s="12" t="s">
        <v>2208</v>
      </c>
      <c r="D45" s="12" t="s">
        <v>2210</v>
      </c>
      <c r="E45" s="12" t="n">
        <v>86</v>
      </c>
      <c r="F45" s="12" t="n">
        <v>28</v>
      </c>
      <c r="G45" s="15" t="n">
        <v>1200</v>
      </c>
      <c r="H45" s="15" t="n">
        <v>1500</v>
      </c>
      <c r="I45" s="12" t="s">
        <v>2645</v>
      </c>
      <c r="J45" s="17" t="n">
        <v>46812</v>
      </c>
      <c r="K45" s="12" t="s">
        <v>1120</v>
      </c>
      <c r="L45" s="12" t="n">
        <v>60</v>
      </c>
      <c r="M45" s="15" t="n">
        <f aca="false">E45*G45</f>
        <v>103200</v>
      </c>
      <c r="N45" s="15" t="n">
        <f aca="false">E45*H45</f>
        <v>129000</v>
      </c>
      <c r="O45" s="18" t="n">
        <f aca="false">IF(H45=0,"",(H45-G45)/H45)</f>
        <v>0.2</v>
      </c>
      <c r="P45" s="12" t="n">
        <f aca="false">IF(J45="","",J45-README!$C$4)</f>
        <v>490</v>
      </c>
      <c r="Q45" s="12" t="str">
        <f aca="false">IF(E45=0,"Out of stock",IF(E45&lt;=F45,"Low stock","OK"))</f>
        <v>OK</v>
      </c>
      <c r="R45" s="12" t="str">
        <f aca="false">IF(J45="","No expiry",IF(P45&lt;0,"Expired",IF(P45&lt;=30,"Expiring &lt;=30 days","OK")))</f>
        <v>OK</v>
      </c>
      <c r="S45" s="12"/>
    </row>
    <row r="46" customFormat="false" ht="15" hidden="false" customHeight="false" outlineLevel="0" collapsed="false">
      <c r="A46" s="12" t="s">
        <v>2646</v>
      </c>
      <c r="B46" s="12" t="s">
        <v>1195</v>
      </c>
      <c r="C46" s="12" t="s">
        <v>2223</v>
      </c>
      <c r="D46" s="12" t="s">
        <v>2224</v>
      </c>
      <c r="E46" s="12" t="n">
        <v>138</v>
      </c>
      <c r="F46" s="12" t="n">
        <v>28</v>
      </c>
      <c r="G46" s="15" t="n">
        <v>3800</v>
      </c>
      <c r="H46" s="15" t="n">
        <v>4500</v>
      </c>
      <c r="I46" s="12" t="s">
        <v>2647</v>
      </c>
      <c r="J46" s="17" t="n">
        <v>46451</v>
      </c>
      <c r="K46" s="12" t="s">
        <v>1120</v>
      </c>
      <c r="L46" s="12" t="n">
        <v>96</v>
      </c>
      <c r="M46" s="15" t="n">
        <f aca="false">E46*G46</f>
        <v>524400</v>
      </c>
      <c r="N46" s="15" t="n">
        <f aca="false">E46*H46</f>
        <v>621000</v>
      </c>
      <c r="O46" s="18" t="n">
        <f aca="false">IF(H46=0,"",(H46-G46)/H46)</f>
        <v>0.155555555555556</v>
      </c>
      <c r="P46" s="12" t="n">
        <f aca="false">IF(J46="","",J46-README!$C$4)</f>
        <v>129</v>
      </c>
      <c r="Q46" s="12" t="str">
        <f aca="false">IF(E46=0,"Out of stock",IF(E46&lt;=F46,"Low stock","OK"))</f>
        <v>OK</v>
      </c>
      <c r="R46" s="12" t="str">
        <f aca="false">IF(J46="","No expiry",IF(P46&lt;0,"Expired",IF(P46&lt;=30,"Expiring &lt;=30 days","OK")))</f>
        <v>OK</v>
      </c>
      <c r="S46" s="19" t="s">
        <v>2648</v>
      </c>
    </row>
    <row r="47" customFormat="false" ht="15" hidden="false" customHeight="false" outlineLevel="0" collapsed="false">
      <c r="A47" s="12" t="s">
        <v>2649</v>
      </c>
      <c r="B47" s="12" t="s">
        <v>1195</v>
      </c>
      <c r="C47" s="12" t="s">
        <v>2226</v>
      </c>
      <c r="D47" s="12" t="s">
        <v>2227</v>
      </c>
      <c r="E47" s="12" t="n">
        <v>168</v>
      </c>
      <c r="F47" s="12" t="n">
        <v>28</v>
      </c>
      <c r="G47" s="15" t="n">
        <v>8400</v>
      </c>
      <c r="H47" s="15" t="n">
        <v>10000</v>
      </c>
      <c r="I47" s="12" t="s">
        <v>2650</v>
      </c>
      <c r="J47" s="17" t="n">
        <v>46562</v>
      </c>
      <c r="K47" s="12" t="s">
        <v>1120</v>
      </c>
      <c r="L47" s="12" t="n">
        <v>117</v>
      </c>
      <c r="M47" s="15" t="n">
        <f aca="false">E47*G47</f>
        <v>1411200</v>
      </c>
      <c r="N47" s="15" t="n">
        <f aca="false">E47*H47</f>
        <v>1680000</v>
      </c>
      <c r="O47" s="18" t="n">
        <f aca="false">IF(H47=0,"",(H47-G47)/H47)</f>
        <v>0.16</v>
      </c>
      <c r="P47" s="12" t="n">
        <f aca="false">IF(J47="","",J47-README!$C$4)</f>
        <v>240</v>
      </c>
      <c r="Q47" s="12" t="str">
        <f aca="false">IF(E47=0,"Out of stock",IF(E47&lt;=F47,"Low stock","OK"))</f>
        <v>OK</v>
      </c>
      <c r="R47" s="12" t="str">
        <f aca="false">IF(J47="","No expiry",IF(P47&lt;0,"Expired",IF(P47&lt;=30,"Expiring &lt;=30 days","OK")))</f>
        <v>OK</v>
      </c>
      <c r="S47" s="12"/>
    </row>
    <row r="48" customFormat="false" ht="15" hidden="false" customHeight="false" outlineLevel="0" collapsed="false">
      <c r="A48" s="12" t="s">
        <v>2651</v>
      </c>
      <c r="B48" s="12" t="s">
        <v>1195</v>
      </c>
      <c r="C48" s="12" t="s">
        <v>2220</v>
      </c>
      <c r="D48" s="12" t="s">
        <v>2221</v>
      </c>
      <c r="E48" s="12" t="n">
        <v>96</v>
      </c>
      <c r="F48" s="12" t="n">
        <v>28</v>
      </c>
      <c r="G48" s="15" t="n">
        <v>1200</v>
      </c>
      <c r="H48" s="15" t="n">
        <v>1500</v>
      </c>
      <c r="I48" s="12" t="s">
        <v>2652</v>
      </c>
      <c r="J48" s="17" t="n">
        <v>46683</v>
      </c>
      <c r="K48" s="12" t="s">
        <v>1120</v>
      </c>
      <c r="L48" s="12" t="n">
        <v>67</v>
      </c>
      <c r="M48" s="15" t="n">
        <f aca="false">E48*G48</f>
        <v>115200</v>
      </c>
      <c r="N48" s="15" t="n">
        <f aca="false">E48*H48</f>
        <v>144000</v>
      </c>
      <c r="O48" s="18" t="n">
        <f aca="false">IF(H48=0,"",(H48-G48)/H48)</f>
        <v>0.2</v>
      </c>
      <c r="P48" s="12" t="n">
        <f aca="false">IF(J48="","",J48-README!$C$4)</f>
        <v>361</v>
      </c>
      <c r="Q48" s="12" t="str">
        <f aca="false">IF(E48=0,"Out of stock",IF(E48&lt;=F48,"Low stock","OK"))</f>
        <v>OK</v>
      </c>
      <c r="R48" s="12" t="str">
        <f aca="false">IF(J48="","No expiry",IF(P48&lt;0,"Expired",IF(P48&lt;=30,"Expiring &lt;=30 days","OK")))</f>
        <v>OK</v>
      </c>
      <c r="S48" s="12"/>
    </row>
    <row r="49" customFormat="false" ht="15" hidden="false" customHeight="false" outlineLevel="0" collapsed="false">
      <c r="A49" s="12" t="s">
        <v>2653</v>
      </c>
      <c r="B49" s="12" t="s">
        <v>1195</v>
      </c>
      <c r="C49" s="12" t="s">
        <v>2229</v>
      </c>
      <c r="D49" s="12" t="s">
        <v>2230</v>
      </c>
      <c r="E49" s="12" t="n">
        <v>162</v>
      </c>
      <c r="F49" s="12" t="n">
        <v>28</v>
      </c>
      <c r="G49" s="15" t="n">
        <v>3400</v>
      </c>
      <c r="H49" s="15" t="n">
        <v>4000</v>
      </c>
      <c r="I49" s="12" t="s">
        <v>2654</v>
      </c>
      <c r="J49" s="17" t="n">
        <v>46771</v>
      </c>
      <c r="K49" s="12" t="s">
        <v>1120</v>
      </c>
      <c r="L49" s="12" t="n">
        <v>113</v>
      </c>
      <c r="M49" s="15" t="n">
        <f aca="false">E49*G49</f>
        <v>550800</v>
      </c>
      <c r="N49" s="15" t="n">
        <f aca="false">E49*H49</f>
        <v>648000</v>
      </c>
      <c r="O49" s="18" t="n">
        <f aca="false">IF(H49=0,"",(H49-G49)/H49)</f>
        <v>0.15</v>
      </c>
      <c r="P49" s="12" t="n">
        <f aca="false">IF(J49="","",J49-README!$C$4)</f>
        <v>449</v>
      </c>
      <c r="Q49" s="12" t="str">
        <f aca="false">IF(E49=0,"Out of stock",IF(E49&lt;=F49,"Low stock","OK"))</f>
        <v>OK</v>
      </c>
      <c r="R49" s="12" t="str">
        <f aca="false">IF(J49="","No expiry",IF(P49&lt;0,"Expired",IF(P49&lt;=30,"Expiring &lt;=30 days","OK")))</f>
        <v>OK</v>
      </c>
      <c r="S49" s="12"/>
    </row>
    <row r="50" customFormat="false" ht="15" hidden="false" customHeight="false" outlineLevel="0" collapsed="false">
      <c r="A50" s="12" t="s">
        <v>2655</v>
      </c>
      <c r="B50" s="12" t="s">
        <v>1195</v>
      </c>
      <c r="C50" s="12" t="s">
        <v>2232</v>
      </c>
      <c r="D50" s="12" t="s">
        <v>2234</v>
      </c>
      <c r="E50" s="12" t="n">
        <v>6</v>
      </c>
      <c r="F50" s="12" t="n">
        <v>3</v>
      </c>
      <c r="G50" s="15" t="n">
        <v>25100</v>
      </c>
      <c r="H50" s="15" t="n">
        <v>30000</v>
      </c>
      <c r="I50" s="12" t="s">
        <v>2656</v>
      </c>
      <c r="J50" s="17" t="n">
        <v>46495</v>
      </c>
      <c r="K50" s="12" t="s">
        <v>1111</v>
      </c>
      <c r="L50" s="12" t="n">
        <v>0</v>
      </c>
      <c r="M50" s="15" t="n">
        <f aca="false">E50*G50</f>
        <v>150600</v>
      </c>
      <c r="N50" s="15" t="n">
        <f aca="false">E50*H50</f>
        <v>180000</v>
      </c>
      <c r="O50" s="18" t="n">
        <f aca="false">IF(H50=0,"",(H50-G50)/H50)</f>
        <v>0.163333333333333</v>
      </c>
      <c r="P50" s="12" t="n">
        <f aca="false">IF(J50="","",J50-README!$C$4)</f>
        <v>173</v>
      </c>
      <c r="Q50" s="12" t="str">
        <f aca="false">IF(E50=0,"Out of stock",IF(E50&lt;=F50,"Low stock","OK"))</f>
        <v>OK</v>
      </c>
      <c r="R50" s="12" t="str">
        <f aca="false">IF(J50="","No expiry",IF(P50&lt;0,"Expired",IF(P50&lt;=30,"Expiring &lt;=30 days","OK")))</f>
        <v>OK</v>
      </c>
      <c r="S50" s="12"/>
    </row>
    <row r="51" customFormat="false" ht="15" hidden="false" customHeight="false" outlineLevel="0" collapsed="false">
      <c r="A51" s="12" t="s">
        <v>2657</v>
      </c>
      <c r="B51" s="12" t="s">
        <v>1195</v>
      </c>
      <c r="C51" s="12" t="s">
        <v>2236</v>
      </c>
      <c r="D51" s="12" t="s">
        <v>2238</v>
      </c>
      <c r="E51" s="12" t="n">
        <v>26</v>
      </c>
      <c r="F51" s="12" t="n">
        <v>8</v>
      </c>
      <c r="G51" s="15" t="n">
        <v>9700</v>
      </c>
      <c r="H51" s="15" t="n">
        <v>12000</v>
      </c>
      <c r="I51" s="12" t="s">
        <v>2658</v>
      </c>
      <c r="J51" s="17" t="n">
        <v>46494</v>
      </c>
      <c r="K51" s="12" t="s">
        <v>1120</v>
      </c>
      <c r="L51" s="12" t="n">
        <v>18</v>
      </c>
      <c r="M51" s="15" t="n">
        <f aca="false">E51*G51</f>
        <v>252200</v>
      </c>
      <c r="N51" s="15" t="n">
        <f aca="false">E51*H51</f>
        <v>312000</v>
      </c>
      <c r="O51" s="18" t="n">
        <f aca="false">IF(H51=0,"",(H51-G51)/H51)</f>
        <v>0.191666666666667</v>
      </c>
      <c r="P51" s="12" t="n">
        <f aca="false">IF(J51="","",J51-README!$C$4)</f>
        <v>172</v>
      </c>
      <c r="Q51" s="12" t="str">
        <f aca="false">IF(E51=0,"Out of stock",IF(E51&lt;=F51,"Low stock","OK"))</f>
        <v>OK</v>
      </c>
      <c r="R51" s="12" t="str">
        <f aca="false">IF(J51="","No expiry",IF(P51&lt;0,"Expired",IF(P51&lt;=30,"Expiring &lt;=30 days","OK")))</f>
        <v>OK</v>
      </c>
      <c r="S51" s="12"/>
    </row>
    <row r="52" customFormat="false" ht="15" hidden="false" customHeight="false" outlineLevel="0" collapsed="false">
      <c r="A52" s="12" t="s">
        <v>2659</v>
      </c>
      <c r="B52" s="12" t="s">
        <v>1195</v>
      </c>
      <c r="C52" s="12" t="s">
        <v>2244</v>
      </c>
      <c r="D52" s="12" t="s">
        <v>2246</v>
      </c>
      <c r="E52" s="12" t="n">
        <v>42</v>
      </c>
      <c r="F52" s="12" t="n">
        <v>8</v>
      </c>
      <c r="G52" s="15" t="n">
        <v>24500</v>
      </c>
      <c r="H52" s="15" t="n">
        <v>28000</v>
      </c>
      <c r="I52" s="12" t="s">
        <v>2660</v>
      </c>
      <c r="J52" s="17" t="n">
        <v>46577</v>
      </c>
      <c r="K52" s="12" t="s">
        <v>1120</v>
      </c>
      <c r="L52" s="12" t="n">
        <v>29</v>
      </c>
      <c r="M52" s="15" t="n">
        <f aca="false">E52*G52</f>
        <v>1029000</v>
      </c>
      <c r="N52" s="15" t="n">
        <f aca="false">E52*H52</f>
        <v>1176000</v>
      </c>
      <c r="O52" s="18" t="n">
        <f aca="false">IF(H52=0,"",(H52-G52)/H52)</f>
        <v>0.125</v>
      </c>
      <c r="P52" s="12" t="n">
        <f aca="false">IF(J52="","",J52-README!$C$4)</f>
        <v>255</v>
      </c>
      <c r="Q52" s="12" t="str">
        <f aca="false">IF(E52=0,"Out of stock",IF(E52&lt;=F52,"Low stock","OK"))</f>
        <v>OK</v>
      </c>
      <c r="R52" s="12" t="str">
        <f aca="false">IF(J52="","No expiry",IF(P52&lt;0,"Expired",IF(P52&lt;=30,"Expiring &lt;=30 days","OK")))</f>
        <v>OK</v>
      </c>
      <c r="S52" s="12"/>
    </row>
    <row r="53" customFormat="false" ht="15" hidden="false" customHeight="false" outlineLevel="0" collapsed="false">
      <c r="A53" s="12" t="s">
        <v>2661</v>
      </c>
      <c r="B53" s="12" t="s">
        <v>1195</v>
      </c>
      <c r="C53" s="12" t="s">
        <v>2240</v>
      </c>
      <c r="D53" s="12" t="s">
        <v>2242</v>
      </c>
      <c r="E53" s="12" t="n">
        <v>24</v>
      </c>
      <c r="F53" s="12" t="n">
        <v>8</v>
      </c>
      <c r="G53" s="15" t="n">
        <v>13400</v>
      </c>
      <c r="H53" s="15" t="n">
        <v>15000</v>
      </c>
      <c r="I53" s="12" t="s">
        <v>2662</v>
      </c>
      <c r="J53" s="17" t="n">
        <v>47002</v>
      </c>
      <c r="K53" s="12" t="s">
        <v>1120</v>
      </c>
      <c r="L53" s="12" t="n">
        <v>16</v>
      </c>
      <c r="M53" s="15" t="n">
        <f aca="false">E53*G53</f>
        <v>321600</v>
      </c>
      <c r="N53" s="15" t="n">
        <f aca="false">E53*H53</f>
        <v>360000</v>
      </c>
      <c r="O53" s="18" t="n">
        <f aca="false">IF(H53=0,"",(H53-G53)/H53)</f>
        <v>0.106666666666667</v>
      </c>
      <c r="P53" s="12" t="n">
        <f aca="false">IF(J53="","",J53-README!$C$4)</f>
        <v>680</v>
      </c>
      <c r="Q53" s="12" t="str">
        <f aca="false">IF(E53=0,"Out of stock",IF(E53&lt;=F53,"Low stock","OK"))</f>
        <v>OK</v>
      </c>
      <c r="R53" s="12" t="str">
        <f aca="false">IF(J53="","No expiry",IF(P53&lt;0,"Expired",IF(P53&lt;=30,"Expiring &lt;=30 days","OK")))</f>
        <v>OK</v>
      </c>
      <c r="S53" s="12"/>
    </row>
    <row r="54" customFormat="false" ht="15" hidden="false" customHeight="false" outlineLevel="0" collapsed="false">
      <c r="A54" s="12" t="s">
        <v>2663</v>
      </c>
      <c r="B54" s="12" t="s">
        <v>1195</v>
      </c>
      <c r="C54" s="12" t="s">
        <v>2251</v>
      </c>
      <c r="D54" s="12" t="s">
        <v>2252</v>
      </c>
      <c r="E54" s="12" t="n">
        <v>159</v>
      </c>
      <c r="F54" s="12" t="n">
        <v>28</v>
      </c>
      <c r="G54" s="15" t="n">
        <v>3000</v>
      </c>
      <c r="H54" s="15" t="n">
        <v>3500</v>
      </c>
      <c r="I54" s="12" t="s">
        <v>2664</v>
      </c>
      <c r="J54" s="17" t="n">
        <v>46814</v>
      </c>
      <c r="K54" s="12" t="s">
        <v>1120</v>
      </c>
      <c r="L54" s="12" t="n">
        <v>111</v>
      </c>
      <c r="M54" s="15" t="n">
        <f aca="false">E54*G54</f>
        <v>477000</v>
      </c>
      <c r="N54" s="15" t="n">
        <f aca="false">E54*H54</f>
        <v>556500</v>
      </c>
      <c r="O54" s="18" t="n">
        <f aca="false">IF(H54=0,"",(H54-G54)/H54)</f>
        <v>0.142857142857143</v>
      </c>
      <c r="P54" s="12" t="n">
        <f aca="false">IF(J54="","",J54-README!$C$4)</f>
        <v>492</v>
      </c>
      <c r="Q54" s="12" t="str">
        <f aca="false">IF(E54=0,"Out of stock",IF(E54&lt;=F54,"Low stock","OK"))</f>
        <v>OK</v>
      </c>
      <c r="R54" s="12" t="str">
        <f aca="false">IF(J54="","No expiry",IF(P54&lt;0,"Expired",IF(P54&lt;=30,"Expiring &lt;=30 days","OK")))</f>
        <v>OK</v>
      </c>
      <c r="S54" s="12"/>
    </row>
    <row r="55" customFormat="false" ht="15" hidden="false" customHeight="false" outlineLevel="0" collapsed="false">
      <c r="A55" s="12" t="s">
        <v>2665</v>
      </c>
      <c r="B55" s="12" t="s">
        <v>1195</v>
      </c>
      <c r="C55" s="12" t="s">
        <v>2254</v>
      </c>
      <c r="D55" s="12" t="s">
        <v>2255</v>
      </c>
      <c r="E55" s="12" t="n">
        <v>93</v>
      </c>
      <c r="F55" s="12" t="n">
        <v>28</v>
      </c>
      <c r="G55" s="15" t="n">
        <v>6800</v>
      </c>
      <c r="H55" s="15" t="n">
        <v>8000</v>
      </c>
      <c r="I55" s="12" t="s">
        <v>2666</v>
      </c>
      <c r="J55" s="17" t="n">
        <v>46848</v>
      </c>
      <c r="K55" s="12" t="s">
        <v>1120</v>
      </c>
      <c r="L55" s="12" t="n">
        <v>65</v>
      </c>
      <c r="M55" s="15" t="n">
        <f aca="false">E55*G55</f>
        <v>632400</v>
      </c>
      <c r="N55" s="15" t="n">
        <f aca="false">E55*H55</f>
        <v>744000</v>
      </c>
      <c r="O55" s="18" t="n">
        <f aca="false">IF(H55=0,"",(H55-G55)/H55)</f>
        <v>0.15</v>
      </c>
      <c r="P55" s="12" t="n">
        <f aca="false">IF(J55="","",J55-README!$C$4)</f>
        <v>526</v>
      </c>
      <c r="Q55" s="12" t="str">
        <f aca="false">IF(E55=0,"Out of stock",IF(E55&lt;=F55,"Low stock","OK"))</f>
        <v>OK</v>
      </c>
      <c r="R55" s="12" t="str">
        <f aca="false">IF(J55="","No expiry",IF(P55&lt;0,"Expired",IF(P55&lt;=30,"Expiring &lt;=30 days","OK")))</f>
        <v>OK</v>
      </c>
      <c r="S55" s="12"/>
    </row>
    <row r="56" customFormat="false" ht="15" hidden="false" customHeight="false" outlineLevel="0" collapsed="false">
      <c r="A56" s="12" t="s">
        <v>2667</v>
      </c>
      <c r="B56" s="12" t="s">
        <v>1195</v>
      </c>
      <c r="C56" s="12" t="s">
        <v>2248</v>
      </c>
      <c r="D56" s="12" t="s">
        <v>2249</v>
      </c>
      <c r="E56" s="12" t="n">
        <v>124</v>
      </c>
      <c r="F56" s="12" t="n">
        <v>28</v>
      </c>
      <c r="G56" s="15" t="n">
        <v>1000</v>
      </c>
      <c r="H56" s="15" t="n">
        <v>1200</v>
      </c>
      <c r="I56" s="12" t="s">
        <v>2668</v>
      </c>
      <c r="J56" s="17" t="n">
        <v>46505</v>
      </c>
      <c r="K56" s="12" t="s">
        <v>1120</v>
      </c>
      <c r="L56" s="12" t="n">
        <v>86</v>
      </c>
      <c r="M56" s="15" t="n">
        <f aca="false">E56*G56</f>
        <v>124000</v>
      </c>
      <c r="N56" s="15" t="n">
        <f aca="false">E56*H56</f>
        <v>148800</v>
      </c>
      <c r="O56" s="18" t="n">
        <f aca="false">IF(H56=0,"",(H56-G56)/H56)</f>
        <v>0.166666666666667</v>
      </c>
      <c r="P56" s="12" t="n">
        <f aca="false">IF(J56="","",J56-README!$C$4)</f>
        <v>183</v>
      </c>
      <c r="Q56" s="12" t="str">
        <f aca="false">IF(E56=0,"Out of stock",IF(E56&lt;=F56,"Low stock","OK"))</f>
        <v>OK</v>
      </c>
      <c r="R56" s="12" t="str">
        <f aca="false">IF(J56="","No expiry",IF(P56&lt;0,"Expired",IF(P56&lt;=30,"Expiring &lt;=30 days","OK")))</f>
        <v>OK</v>
      </c>
      <c r="S56" s="12"/>
    </row>
    <row r="57" customFormat="false" ht="15" hidden="false" customHeight="false" outlineLevel="0" collapsed="false">
      <c r="A57" s="12" t="s">
        <v>2669</v>
      </c>
      <c r="B57" s="12" t="s">
        <v>1195</v>
      </c>
      <c r="C57" s="12" t="s">
        <v>2257</v>
      </c>
      <c r="D57" s="12" t="s">
        <v>2258</v>
      </c>
      <c r="E57" s="12" t="n">
        <v>58</v>
      </c>
      <c r="F57" s="12" t="n">
        <v>28</v>
      </c>
      <c r="G57" s="15" t="n">
        <v>2400</v>
      </c>
      <c r="H57" s="15" t="n">
        <v>3000</v>
      </c>
      <c r="I57" s="12" t="s">
        <v>2670</v>
      </c>
      <c r="J57" s="17" t="n">
        <v>46607</v>
      </c>
      <c r="K57" s="12" t="s">
        <v>1120</v>
      </c>
      <c r="L57" s="12" t="n">
        <v>40</v>
      </c>
      <c r="M57" s="15" t="n">
        <f aca="false">E57*G57</f>
        <v>139200</v>
      </c>
      <c r="N57" s="15" t="n">
        <f aca="false">E57*H57</f>
        <v>174000</v>
      </c>
      <c r="O57" s="18" t="n">
        <f aca="false">IF(H57=0,"",(H57-G57)/H57)</f>
        <v>0.2</v>
      </c>
      <c r="P57" s="12" t="n">
        <f aca="false">IF(J57="","",J57-README!$C$4)</f>
        <v>285</v>
      </c>
      <c r="Q57" s="12" t="str">
        <f aca="false">IF(E57=0,"Out of stock",IF(E57&lt;=F57,"Low stock","OK"))</f>
        <v>OK</v>
      </c>
      <c r="R57" s="12" t="str">
        <f aca="false">IF(J57="","No expiry",IF(P57&lt;0,"Expired",IF(P57&lt;=30,"Expiring &lt;=30 days","OK")))</f>
        <v>OK</v>
      </c>
      <c r="S57" s="12"/>
    </row>
    <row r="58" customFormat="false" ht="15" hidden="false" customHeight="false" outlineLevel="0" collapsed="false">
      <c r="A58" s="12" t="s">
        <v>2671</v>
      </c>
      <c r="B58" s="12" t="s">
        <v>1195</v>
      </c>
      <c r="C58" s="12" t="s">
        <v>2260</v>
      </c>
      <c r="D58" s="12" t="s">
        <v>2262</v>
      </c>
      <c r="E58" s="12" t="n">
        <v>7</v>
      </c>
      <c r="F58" s="12" t="n">
        <v>4</v>
      </c>
      <c r="G58" s="15" t="n">
        <v>6100</v>
      </c>
      <c r="H58" s="15" t="n">
        <v>7000</v>
      </c>
      <c r="I58" s="12" t="s">
        <v>2672</v>
      </c>
      <c r="J58" s="17" t="n">
        <v>46599</v>
      </c>
      <c r="K58" s="12" t="s">
        <v>1120</v>
      </c>
      <c r="L58" s="12" t="n">
        <v>4</v>
      </c>
      <c r="M58" s="15" t="n">
        <f aca="false">E58*G58</f>
        <v>42700</v>
      </c>
      <c r="N58" s="15" t="n">
        <f aca="false">E58*H58</f>
        <v>49000</v>
      </c>
      <c r="O58" s="18" t="n">
        <f aca="false">IF(H58=0,"",(H58-G58)/H58)</f>
        <v>0.128571428571429</v>
      </c>
      <c r="P58" s="12" t="n">
        <f aca="false">IF(J58="","",J58-README!$C$4)</f>
        <v>277</v>
      </c>
      <c r="Q58" s="12" t="str">
        <f aca="false">IF(E58=0,"Out of stock",IF(E58&lt;=F58,"Low stock","OK"))</f>
        <v>OK</v>
      </c>
      <c r="R58" s="12" t="str">
        <f aca="false">IF(J58="","No expiry",IF(P58&lt;0,"Expired",IF(P58&lt;=30,"Expiring &lt;=30 days","OK")))</f>
        <v>OK</v>
      </c>
      <c r="S58" s="12"/>
    </row>
    <row r="59" customFormat="false" ht="15" hidden="false" customHeight="false" outlineLevel="0" collapsed="false">
      <c r="A59" s="12" t="s">
        <v>2673</v>
      </c>
      <c r="B59" s="12" t="s">
        <v>1195</v>
      </c>
      <c r="C59" s="12" t="s">
        <v>2264</v>
      </c>
      <c r="D59" s="12" t="s">
        <v>2266</v>
      </c>
      <c r="E59" s="12" t="n">
        <v>22</v>
      </c>
      <c r="F59" s="12" t="n">
        <v>4</v>
      </c>
      <c r="G59" s="15" t="n">
        <v>12400</v>
      </c>
      <c r="H59" s="15" t="n">
        <v>15000</v>
      </c>
      <c r="I59" s="12" t="s">
        <v>2674</v>
      </c>
      <c r="J59" s="17" t="n">
        <v>46806</v>
      </c>
      <c r="K59" s="12" t="s">
        <v>1120</v>
      </c>
      <c r="L59" s="12" t="n">
        <v>15</v>
      </c>
      <c r="M59" s="15" t="n">
        <f aca="false">E59*G59</f>
        <v>272800</v>
      </c>
      <c r="N59" s="15" t="n">
        <f aca="false">E59*H59</f>
        <v>330000</v>
      </c>
      <c r="O59" s="18" t="n">
        <f aca="false">IF(H59=0,"",(H59-G59)/H59)</f>
        <v>0.173333333333333</v>
      </c>
      <c r="P59" s="12" t="n">
        <f aca="false">IF(J59="","",J59-README!$C$4)</f>
        <v>484</v>
      </c>
      <c r="Q59" s="12" t="str">
        <f aca="false">IF(E59=0,"Out of stock",IF(E59&lt;=F59,"Low stock","OK"))</f>
        <v>OK</v>
      </c>
      <c r="R59" s="12" t="str">
        <f aca="false">IF(J59="","No expiry",IF(P59&lt;0,"Expired",IF(P59&lt;=30,"Expiring &lt;=30 days","OK")))</f>
        <v>OK</v>
      </c>
      <c r="S59" s="12"/>
    </row>
    <row r="60" customFormat="false" ht="15" hidden="false" customHeight="false" outlineLevel="0" collapsed="false">
      <c r="A60" s="12" t="s">
        <v>2675</v>
      </c>
      <c r="B60" s="12" t="s">
        <v>1195</v>
      </c>
      <c r="C60" s="12" t="s">
        <v>2272</v>
      </c>
      <c r="D60" s="12" t="s">
        <v>2274</v>
      </c>
      <c r="E60" s="12" t="n">
        <v>22</v>
      </c>
      <c r="F60" s="12" t="n">
        <v>11</v>
      </c>
      <c r="G60" s="15" t="n">
        <v>78200</v>
      </c>
      <c r="H60" s="15" t="n">
        <v>95000</v>
      </c>
      <c r="I60" s="12" t="s">
        <v>2676</v>
      </c>
      <c r="J60" s="17" t="n">
        <v>46645</v>
      </c>
      <c r="K60" s="12" t="s">
        <v>1120</v>
      </c>
      <c r="L60" s="12" t="n">
        <v>15</v>
      </c>
      <c r="M60" s="15" t="n">
        <f aca="false">E60*G60</f>
        <v>1720400</v>
      </c>
      <c r="N60" s="15" t="n">
        <f aca="false">E60*H60</f>
        <v>2090000</v>
      </c>
      <c r="O60" s="18" t="n">
        <f aca="false">IF(H60=0,"",(H60-G60)/H60)</f>
        <v>0.176842105263158</v>
      </c>
      <c r="P60" s="12" t="n">
        <f aca="false">IF(J60="","",J60-README!$C$4)</f>
        <v>323</v>
      </c>
      <c r="Q60" s="12" t="str">
        <f aca="false">IF(E60=0,"Out of stock",IF(E60&lt;=F60,"Low stock","OK"))</f>
        <v>OK</v>
      </c>
      <c r="R60" s="12" t="str">
        <f aca="false">IF(J60="","No expiry",IF(P60&lt;0,"Expired",IF(P60&lt;=30,"Expiring &lt;=30 days","OK")))</f>
        <v>OK</v>
      </c>
      <c r="S60" s="12"/>
    </row>
    <row r="61" customFormat="false" ht="15" hidden="false" customHeight="false" outlineLevel="0" collapsed="false">
      <c r="A61" s="12" t="s">
        <v>2677</v>
      </c>
      <c r="B61" s="12" t="s">
        <v>1195</v>
      </c>
      <c r="C61" s="12" t="s">
        <v>2268</v>
      </c>
      <c r="D61" s="12" t="s">
        <v>2270</v>
      </c>
      <c r="E61" s="12" t="n">
        <v>15</v>
      </c>
      <c r="F61" s="12" t="n">
        <v>8</v>
      </c>
      <c r="G61" s="15" t="n">
        <v>10300</v>
      </c>
      <c r="H61" s="15" t="n">
        <v>12000</v>
      </c>
      <c r="I61" s="12" t="s">
        <v>2678</v>
      </c>
      <c r="J61" s="17" t="n">
        <v>46832</v>
      </c>
      <c r="K61" s="12" t="s">
        <v>1120</v>
      </c>
      <c r="L61" s="12" t="n">
        <v>10</v>
      </c>
      <c r="M61" s="15" t="n">
        <f aca="false">E61*G61</f>
        <v>154500</v>
      </c>
      <c r="N61" s="15" t="n">
        <f aca="false">E61*H61</f>
        <v>180000</v>
      </c>
      <c r="O61" s="18" t="n">
        <f aca="false">IF(H61=0,"",(H61-G61)/H61)</f>
        <v>0.141666666666667</v>
      </c>
      <c r="P61" s="12" t="n">
        <f aca="false">IF(J61="","",J61-README!$C$4)</f>
        <v>510</v>
      </c>
      <c r="Q61" s="12" t="str">
        <f aca="false">IF(E61=0,"Out of stock",IF(E61&lt;=F61,"Low stock","OK"))</f>
        <v>OK</v>
      </c>
      <c r="R61" s="12" t="str">
        <f aca="false">IF(J61="","No expiry",IF(P61&lt;0,"Expired",IF(P61&lt;=30,"Expiring &lt;=30 days","OK")))</f>
        <v>OK</v>
      </c>
      <c r="S61" s="12"/>
    </row>
    <row r="62" customFormat="false" ht="15" hidden="false" customHeight="false" outlineLevel="0" collapsed="false">
      <c r="A62" s="12" t="s">
        <v>2679</v>
      </c>
      <c r="B62" s="12" t="s">
        <v>1195</v>
      </c>
      <c r="C62" s="12" t="s">
        <v>2276</v>
      </c>
      <c r="D62" s="12" t="s">
        <v>2277</v>
      </c>
      <c r="E62" s="12" t="n">
        <v>150</v>
      </c>
      <c r="F62" s="12" t="n">
        <v>28</v>
      </c>
      <c r="G62" s="15" t="n">
        <v>4900</v>
      </c>
      <c r="H62" s="15" t="n">
        <v>6000</v>
      </c>
      <c r="I62" s="12" t="s">
        <v>2680</v>
      </c>
      <c r="J62" s="17" t="n">
        <v>46625</v>
      </c>
      <c r="K62" s="12" t="s">
        <v>1120</v>
      </c>
      <c r="L62" s="12" t="n">
        <v>105</v>
      </c>
      <c r="M62" s="15" t="n">
        <f aca="false">E62*G62</f>
        <v>735000</v>
      </c>
      <c r="N62" s="15" t="n">
        <f aca="false">E62*H62</f>
        <v>900000</v>
      </c>
      <c r="O62" s="18" t="n">
        <f aca="false">IF(H62=0,"",(H62-G62)/H62)</f>
        <v>0.183333333333333</v>
      </c>
      <c r="P62" s="12" t="n">
        <f aca="false">IF(J62="","",J62-README!$C$4)</f>
        <v>303</v>
      </c>
      <c r="Q62" s="12" t="str">
        <f aca="false">IF(E62=0,"Out of stock",IF(E62&lt;=F62,"Low stock","OK"))</f>
        <v>OK</v>
      </c>
      <c r="R62" s="12" t="str">
        <f aca="false">IF(J62="","No expiry",IF(P62&lt;0,"Expired",IF(P62&lt;=30,"Expiring &lt;=30 days","OK")))</f>
        <v>OK</v>
      </c>
      <c r="S62" s="12"/>
    </row>
    <row r="63" customFormat="false" ht="15" hidden="false" customHeight="false" outlineLevel="0" collapsed="false">
      <c r="A63" s="12" t="s">
        <v>2681</v>
      </c>
      <c r="B63" s="12" t="s">
        <v>1195</v>
      </c>
      <c r="C63" s="12" t="s">
        <v>2279</v>
      </c>
      <c r="D63" s="12" t="s">
        <v>2281</v>
      </c>
      <c r="E63" s="12" t="n">
        <v>16</v>
      </c>
      <c r="F63" s="12" t="n">
        <v>8</v>
      </c>
      <c r="G63" s="15" t="n">
        <v>22300</v>
      </c>
      <c r="H63" s="15" t="n">
        <v>25000</v>
      </c>
      <c r="I63" s="12" t="s">
        <v>2682</v>
      </c>
      <c r="J63" s="17" t="n">
        <v>46490</v>
      </c>
      <c r="K63" s="12" t="s">
        <v>1120</v>
      </c>
      <c r="L63" s="12" t="n">
        <v>11</v>
      </c>
      <c r="M63" s="15" t="n">
        <f aca="false">E63*G63</f>
        <v>356800</v>
      </c>
      <c r="N63" s="15" t="n">
        <f aca="false">E63*H63</f>
        <v>400000</v>
      </c>
      <c r="O63" s="18" t="n">
        <f aca="false">IF(H63=0,"",(H63-G63)/H63)</f>
        <v>0.108</v>
      </c>
      <c r="P63" s="12" t="n">
        <f aca="false">IF(J63="","",J63-README!$C$4)</f>
        <v>168</v>
      </c>
      <c r="Q63" s="12" t="str">
        <f aca="false">IF(E63=0,"Out of stock",IF(E63&lt;=F63,"Low stock","OK"))</f>
        <v>OK</v>
      </c>
      <c r="R63" s="12" t="str">
        <f aca="false">IF(J63="","No expiry",IF(P63&lt;0,"Expired",IF(P63&lt;=30,"Expiring &lt;=30 days","OK")))</f>
        <v>OK</v>
      </c>
      <c r="S63" s="12"/>
    </row>
    <row r="64" customFormat="false" ht="15" hidden="false" customHeight="false" outlineLevel="0" collapsed="false">
      <c r="A64" s="12" t="s">
        <v>2683</v>
      </c>
      <c r="B64" s="12" t="s">
        <v>1195</v>
      </c>
      <c r="C64" s="12" t="s">
        <v>2283</v>
      </c>
      <c r="D64" s="12" t="s">
        <v>2284</v>
      </c>
      <c r="E64" s="12" t="n">
        <v>44</v>
      </c>
      <c r="F64" s="12" t="n">
        <v>8</v>
      </c>
      <c r="G64" s="15" t="n">
        <v>31400</v>
      </c>
      <c r="H64" s="15" t="n">
        <v>35000</v>
      </c>
      <c r="I64" s="12" t="s">
        <v>2684</v>
      </c>
      <c r="J64" s="17" t="n">
        <v>47021</v>
      </c>
      <c r="K64" s="12" t="s">
        <v>1111</v>
      </c>
      <c r="L64" s="12" t="n">
        <v>0</v>
      </c>
      <c r="M64" s="15" t="n">
        <f aca="false">E64*G64</f>
        <v>1381600</v>
      </c>
      <c r="N64" s="15" t="n">
        <f aca="false">E64*H64</f>
        <v>1540000</v>
      </c>
      <c r="O64" s="18" t="n">
        <f aca="false">IF(H64=0,"",(H64-G64)/H64)</f>
        <v>0.102857142857143</v>
      </c>
      <c r="P64" s="12" t="n">
        <f aca="false">IF(J64="","",J64-README!$C$4)</f>
        <v>699</v>
      </c>
      <c r="Q64" s="12" t="str">
        <f aca="false">IF(E64=0,"Out of stock",IF(E64&lt;=F64,"Low stock","OK"))</f>
        <v>OK</v>
      </c>
      <c r="R64" s="12" t="str">
        <f aca="false">IF(J64="","No expiry",IF(P64&lt;0,"Expired",IF(P64&lt;=30,"Expiring &lt;=30 days","OK")))</f>
        <v>OK</v>
      </c>
      <c r="S64" s="12"/>
    </row>
    <row r="65" customFormat="false" ht="15" hidden="false" customHeight="false" outlineLevel="0" collapsed="false">
      <c r="A65" s="12" t="s">
        <v>2685</v>
      </c>
      <c r="B65" s="12" t="s">
        <v>1195</v>
      </c>
      <c r="C65" s="12" t="s">
        <v>2286</v>
      </c>
      <c r="D65" s="12" t="s">
        <v>2287</v>
      </c>
      <c r="E65" s="12" t="n">
        <v>11</v>
      </c>
      <c r="F65" s="12" t="n">
        <v>8</v>
      </c>
      <c r="G65" s="15" t="n">
        <v>10100</v>
      </c>
      <c r="H65" s="15" t="n">
        <v>12000</v>
      </c>
      <c r="I65" s="12" t="s">
        <v>2686</v>
      </c>
      <c r="J65" s="17" t="n">
        <v>46611</v>
      </c>
      <c r="K65" s="12" t="s">
        <v>1120</v>
      </c>
      <c r="L65" s="12" t="n">
        <v>7</v>
      </c>
      <c r="M65" s="15" t="n">
        <f aca="false">E65*G65</f>
        <v>111100</v>
      </c>
      <c r="N65" s="15" t="n">
        <f aca="false">E65*H65</f>
        <v>132000</v>
      </c>
      <c r="O65" s="18" t="n">
        <f aca="false">IF(H65=0,"",(H65-G65)/H65)</f>
        <v>0.158333333333333</v>
      </c>
      <c r="P65" s="12" t="n">
        <f aca="false">IF(J65="","",J65-README!$C$4)</f>
        <v>289</v>
      </c>
      <c r="Q65" s="12" t="str">
        <f aca="false">IF(E65=0,"Out of stock",IF(E65&lt;=F65,"Low stock","OK"))</f>
        <v>OK</v>
      </c>
      <c r="R65" s="12" t="str">
        <f aca="false">IF(J65="","No expiry",IF(P65&lt;0,"Expired",IF(P65&lt;=30,"Expiring &lt;=30 days","OK")))</f>
        <v>OK</v>
      </c>
      <c r="S65" s="12"/>
    </row>
    <row r="66" customFormat="false" ht="15" hidden="false" customHeight="false" outlineLevel="0" collapsed="false">
      <c r="A66" s="12" t="s">
        <v>2687</v>
      </c>
      <c r="B66" s="12" t="s">
        <v>1195</v>
      </c>
      <c r="C66" s="12" t="s">
        <v>2289</v>
      </c>
      <c r="D66" s="12" t="s">
        <v>2290</v>
      </c>
      <c r="E66" s="12" t="n">
        <v>122</v>
      </c>
      <c r="F66" s="12" t="n">
        <v>11</v>
      </c>
      <c r="G66" s="15" t="n">
        <v>203600</v>
      </c>
      <c r="H66" s="15" t="n">
        <v>250000</v>
      </c>
      <c r="I66" s="12" t="s">
        <v>2688</v>
      </c>
      <c r="J66" s="17" t="n">
        <v>46750</v>
      </c>
      <c r="K66" s="12" t="s">
        <v>1120</v>
      </c>
      <c r="L66" s="12" t="n">
        <v>85</v>
      </c>
      <c r="M66" s="15" t="n">
        <f aca="false">E66*G66</f>
        <v>24839200</v>
      </c>
      <c r="N66" s="15" t="n">
        <f aca="false">E66*H66</f>
        <v>30500000</v>
      </c>
      <c r="O66" s="18" t="n">
        <f aca="false">IF(H66=0,"",(H66-G66)/H66)</f>
        <v>0.1856</v>
      </c>
      <c r="P66" s="12" t="n">
        <f aca="false">IF(J66="","",J66-README!$C$4)</f>
        <v>428</v>
      </c>
      <c r="Q66" s="12" t="str">
        <f aca="false">IF(E66=0,"Out of stock",IF(E66&lt;=F66,"Low stock","OK"))</f>
        <v>OK</v>
      </c>
      <c r="R66" s="12" t="str">
        <f aca="false">IF(J66="","No expiry",IF(P66&lt;0,"Expired",IF(P66&lt;=30,"Expiring &lt;=30 days","OK")))</f>
        <v>OK</v>
      </c>
      <c r="S66" s="12"/>
    </row>
    <row r="67" customFormat="false" ht="15" hidden="false" customHeight="false" outlineLevel="0" collapsed="false">
      <c r="A67" s="12" t="s">
        <v>2689</v>
      </c>
      <c r="B67" s="12" t="s">
        <v>1195</v>
      </c>
      <c r="C67" s="12" t="s">
        <v>2295</v>
      </c>
      <c r="D67" s="12" t="s">
        <v>2296</v>
      </c>
      <c r="E67" s="12" t="n">
        <v>11</v>
      </c>
      <c r="F67" s="12" t="n">
        <v>8</v>
      </c>
      <c r="G67" s="15" t="n">
        <v>23200</v>
      </c>
      <c r="H67" s="15" t="n">
        <v>26000</v>
      </c>
      <c r="I67" s="12" t="s">
        <v>2690</v>
      </c>
      <c r="J67" s="17" t="n">
        <v>46530</v>
      </c>
      <c r="K67" s="12" t="s">
        <v>1111</v>
      </c>
      <c r="L67" s="12" t="n">
        <v>0</v>
      </c>
      <c r="M67" s="15" t="n">
        <f aca="false">E67*G67</f>
        <v>255200</v>
      </c>
      <c r="N67" s="15" t="n">
        <f aca="false">E67*H67</f>
        <v>286000</v>
      </c>
      <c r="O67" s="18" t="n">
        <f aca="false">IF(H67=0,"",(H67-G67)/H67)</f>
        <v>0.107692307692308</v>
      </c>
      <c r="P67" s="12" t="n">
        <f aca="false">IF(J67="","",J67-README!$C$4)</f>
        <v>208</v>
      </c>
      <c r="Q67" s="12" t="str">
        <f aca="false">IF(E67=0,"Out of stock",IF(E67&lt;=F67,"Low stock","OK"))</f>
        <v>OK</v>
      </c>
      <c r="R67" s="12" t="str">
        <f aca="false">IF(J67="","No expiry",IF(P67&lt;0,"Expired",IF(P67&lt;=30,"Expiring &lt;=30 days","OK")))</f>
        <v>OK</v>
      </c>
      <c r="S67" s="12"/>
    </row>
    <row r="68" customFormat="false" ht="15" hidden="false" customHeight="false" outlineLevel="0" collapsed="false">
      <c r="A68" s="12" t="s">
        <v>2691</v>
      </c>
      <c r="B68" s="12" t="s">
        <v>1195</v>
      </c>
      <c r="C68" s="12" t="s">
        <v>2292</v>
      </c>
      <c r="D68" s="12" t="s">
        <v>2293</v>
      </c>
      <c r="E68" s="12" t="n">
        <v>34</v>
      </c>
      <c r="F68" s="12" t="n">
        <v>8</v>
      </c>
      <c r="G68" s="15" t="n">
        <v>11900</v>
      </c>
      <c r="H68" s="15" t="n">
        <v>14000</v>
      </c>
      <c r="I68" s="12" t="s">
        <v>2692</v>
      </c>
      <c r="J68" s="17" t="n">
        <v>46650</v>
      </c>
      <c r="K68" s="12" t="s">
        <v>1120</v>
      </c>
      <c r="L68" s="12" t="n">
        <v>23</v>
      </c>
      <c r="M68" s="15" t="n">
        <f aca="false">E68*G68</f>
        <v>404600</v>
      </c>
      <c r="N68" s="15" t="n">
        <f aca="false">E68*H68</f>
        <v>476000</v>
      </c>
      <c r="O68" s="18" t="n">
        <f aca="false">IF(H68=0,"",(H68-G68)/H68)</f>
        <v>0.15</v>
      </c>
      <c r="P68" s="12" t="n">
        <f aca="false">IF(J68="","",J68-README!$C$4)</f>
        <v>328</v>
      </c>
      <c r="Q68" s="12" t="str">
        <f aca="false">IF(E68=0,"Out of stock",IF(E68&lt;=F68,"Low stock","OK"))</f>
        <v>OK</v>
      </c>
      <c r="R68" s="12" t="str">
        <f aca="false">IF(J68="","No expiry",IF(P68&lt;0,"Expired",IF(P68&lt;=30,"Expiring &lt;=30 days","OK")))</f>
        <v>OK</v>
      </c>
      <c r="S68" s="12"/>
    </row>
    <row r="69" customFormat="false" ht="15" hidden="false" customHeight="false" outlineLevel="0" collapsed="false">
      <c r="A69" s="12" t="s">
        <v>2693</v>
      </c>
      <c r="B69" s="12" t="s">
        <v>1195</v>
      </c>
      <c r="C69" s="12" t="s">
        <v>2302</v>
      </c>
      <c r="D69" s="12" t="s">
        <v>2303</v>
      </c>
      <c r="E69" s="12" t="n">
        <v>58</v>
      </c>
      <c r="F69" s="12" t="n">
        <v>8</v>
      </c>
      <c r="G69" s="15" t="n">
        <v>10200</v>
      </c>
      <c r="H69" s="15" t="n">
        <v>12000</v>
      </c>
      <c r="I69" s="12" t="s">
        <v>2694</v>
      </c>
      <c r="J69" s="17" t="n">
        <v>46858</v>
      </c>
      <c r="K69" s="12" t="s">
        <v>1120</v>
      </c>
      <c r="L69" s="12" t="n">
        <v>40</v>
      </c>
      <c r="M69" s="15" t="n">
        <f aca="false">E69*G69</f>
        <v>591600</v>
      </c>
      <c r="N69" s="15" t="n">
        <f aca="false">E69*H69</f>
        <v>696000</v>
      </c>
      <c r="O69" s="18" t="n">
        <f aca="false">IF(H69=0,"",(H69-G69)/H69)</f>
        <v>0.15</v>
      </c>
      <c r="P69" s="12" t="n">
        <f aca="false">IF(J69="","",J69-README!$C$4)</f>
        <v>536</v>
      </c>
      <c r="Q69" s="12" t="str">
        <f aca="false">IF(E69=0,"Out of stock",IF(E69&lt;=F69,"Low stock","OK"))</f>
        <v>OK</v>
      </c>
      <c r="R69" s="12" t="str">
        <f aca="false">IF(J69="","No expiry",IF(P69&lt;0,"Expired",IF(P69&lt;=30,"Expiring &lt;=30 days","OK")))</f>
        <v>OK</v>
      </c>
      <c r="S69" s="12"/>
    </row>
    <row r="70" customFormat="false" ht="15" hidden="false" customHeight="false" outlineLevel="0" collapsed="false">
      <c r="A70" s="12" t="s">
        <v>2695</v>
      </c>
      <c r="B70" s="12" t="s">
        <v>1195</v>
      </c>
      <c r="C70" s="12" t="s">
        <v>2298</v>
      </c>
      <c r="D70" s="12" t="s">
        <v>2300</v>
      </c>
      <c r="E70" s="12" t="n">
        <v>17</v>
      </c>
      <c r="F70" s="12" t="n">
        <v>8</v>
      </c>
      <c r="G70" s="15" t="n">
        <v>6200</v>
      </c>
      <c r="H70" s="15" t="n">
        <v>7000</v>
      </c>
      <c r="I70" s="12" t="s">
        <v>2696</v>
      </c>
      <c r="J70" s="17" t="n">
        <v>46812</v>
      </c>
      <c r="K70" s="12" t="s">
        <v>1120</v>
      </c>
      <c r="L70" s="12" t="n">
        <v>11</v>
      </c>
      <c r="M70" s="15" t="n">
        <f aca="false">E70*G70</f>
        <v>105400</v>
      </c>
      <c r="N70" s="15" t="n">
        <f aca="false">E70*H70</f>
        <v>119000</v>
      </c>
      <c r="O70" s="18" t="n">
        <f aca="false">IF(H70=0,"",(H70-G70)/H70)</f>
        <v>0.114285714285714</v>
      </c>
      <c r="P70" s="12" t="n">
        <f aca="false">IF(J70="","",J70-README!$C$4)</f>
        <v>490</v>
      </c>
      <c r="Q70" s="12" t="str">
        <f aca="false">IF(E70=0,"Out of stock",IF(E70&lt;=F70,"Low stock","OK"))</f>
        <v>OK</v>
      </c>
      <c r="R70" s="12" t="str">
        <f aca="false">IF(J70="","No expiry",IF(P70&lt;0,"Expired",IF(P70&lt;=30,"Expiring &lt;=30 days","OK")))</f>
        <v>OK</v>
      </c>
      <c r="S70" s="12"/>
    </row>
    <row r="71" customFormat="false" ht="15" hidden="false" customHeight="false" outlineLevel="0" collapsed="false">
      <c r="A71" s="12" t="s">
        <v>2697</v>
      </c>
      <c r="B71" s="12" t="s">
        <v>1195</v>
      </c>
      <c r="C71" s="12" t="s">
        <v>2305</v>
      </c>
      <c r="D71" s="12" t="s">
        <v>2306</v>
      </c>
      <c r="E71" s="12" t="n">
        <v>165</v>
      </c>
      <c r="F71" s="12" t="n">
        <v>28</v>
      </c>
      <c r="G71" s="15" t="n">
        <v>4300</v>
      </c>
      <c r="H71" s="15" t="n">
        <v>5000</v>
      </c>
      <c r="I71" s="12" t="s">
        <v>2698</v>
      </c>
      <c r="J71" s="17" t="n">
        <v>46779</v>
      </c>
      <c r="K71" s="12" t="s">
        <v>1120</v>
      </c>
      <c r="L71" s="12" t="n">
        <v>115</v>
      </c>
      <c r="M71" s="15" t="n">
        <f aca="false">E71*G71</f>
        <v>709500</v>
      </c>
      <c r="N71" s="15" t="n">
        <f aca="false">E71*H71</f>
        <v>825000</v>
      </c>
      <c r="O71" s="18" t="n">
        <f aca="false">IF(H71=0,"",(H71-G71)/H71)</f>
        <v>0.14</v>
      </c>
      <c r="P71" s="12" t="n">
        <f aca="false">IF(J71="","",J71-README!$C$4)</f>
        <v>457</v>
      </c>
      <c r="Q71" s="12" t="str">
        <f aca="false">IF(E71=0,"Out of stock",IF(E71&lt;=F71,"Low stock","OK"))</f>
        <v>OK</v>
      </c>
      <c r="R71" s="12" t="str">
        <f aca="false">IF(J71="","No expiry",IF(P71&lt;0,"Expired",IF(P71&lt;=30,"Expiring &lt;=30 days","OK")))</f>
        <v>OK</v>
      </c>
      <c r="S71" s="12"/>
    </row>
    <row r="72" customFormat="false" ht="15" hidden="false" customHeight="false" outlineLevel="0" collapsed="false">
      <c r="A72" s="12" t="s">
        <v>2699</v>
      </c>
      <c r="B72" s="12" t="s">
        <v>1195</v>
      </c>
      <c r="C72" s="12" t="s">
        <v>2308</v>
      </c>
      <c r="D72" s="12" t="s">
        <v>2309</v>
      </c>
      <c r="E72" s="12" t="n">
        <v>181</v>
      </c>
      <c r="F72" s="12" t="n">
        <v>28</v>
      </c>
      <c r="G72" s="15" t="n">
        <v>7700</v>
      </c>
      <c r="H72" s="15" t="n">
        <v>9000</v>
      </c>
      <c r="I72" s="12" t="s">
        <v>2700</v>
      </c>
      <c r="J72" s="17" t="n">
        <v>47097</v>
      </c>
      <c r="K72" s="12" t="s">
        <v>1120</v>
      </c>
      <c r="L72" s="12" t="n">
        <v>126</v>
      </c>
      <c r="M72" s="15" t="n">
        <f aca="false">E72*G72</f>
        <v>1393700</v>
      </c>
      <c r="N72" s="15" t="n">
        <f aca="false">E72*H72</f>
        <v>1629000</v>
      </c>
      <c r="O72" s="18" t="n">
        <f aca="false">IF(H72=0,"",(H72-G72)/H72)</f>
        <v>0.144444444444444</v>
      </c>
      <c r="P72" s="12" t="n">
        <f aca="false">IF(J72="","",J72-README!$C$4)</f>
        <v>775</v>
      </c>
      <c r="Q72" s="12" t="str">
        <f aca="false">IF(E72=0,"Out of stock",IF(E72&lt;=F72,"Low stock","OK"))</f>
        <v>OK</v>
      </c>
      <c r="R72" s="12" t="str">
        <f aca="false">IF(J72="","No expiry",IF(P72&lt;0,"Expired",IF(P72&lt;=30,"Expiring &lt;=30 days","OK")))</f>
        <v>OK</v>
      </c>
      <c r="S72" s="12"/>
    </row>
    <row r="73" customFormat="false" ht="15" hidden="false" customHeight="false" outlineLevel="0" collapsed="false">
      <c r="A73" s="12" t="s">
        <v>2701</v>
      </c>
      <c r="B73" s="12" t="s">
        <v>1195</v>
      </c>
      <c r="C73" s="12" t="s">
        <v>2311</v>
      </c>
      <c r="D73" s="12" t="s">
        <v>2312</v>
      </c>
      <c r="E73" s="12" t="n">
        <v>38</v>
      </c>
      <c r="F73" s="12" t="n">
        <v>8</v>
      </c>
      <c r="G73" s="15" t="n">
        <v>12000</v>
      </c>
      <c r="H73" s="15" t="n">
        <v>14000</v>
      </c>
      <c r="I73" s="12" t="s">
        <v>2702</v>
      </c>
      <c r="J73" s="17" t="n">
        <v>46835</v>
      </c>
      <c r="K73" s="12" t="s">
        <v>1120</v>
      </c>
      <c r="L73" s="12" t="n">
        <v>26</v>
      </c>
      <c r="M73" s="15" t="n">
        <f aca="false">E73*G73</f>
        <v>456000</v>
      </c>
      <c r="N73" s="15" t="n">
        <f aca="false">E73*H73</f>
        <v>532000</v>
      </c>
      <c r="O73" s="18" t="n">
        <f aca="false">IF(H73=0,"",(H73-G73)/H73)</f>
        <v>0.142857142857143</v>
      </c>
      <c r="P73" s="12" t="n">
        <f aca="false">IF(J73="","",J73-README!$C$4)</f>
        <v>513</v>
      </c>
      <c r="Q73" s="12" t="str">
        <f aca="false">IF(E73=0,"Out of stock",IF(E73&lt;=F73,"Low stock","OK"))</f>
        <v>OK</v>
      </c>
      <c r="R73" s="12" t="str">
        <f aca="false">IF(J73="","No expiry",IF(P73&lt;0,"Expired",IF(P73&lt;=30,"Expiring &lt;=30 days","OK")))</f>
        <v>OK</v>
      </c>
      <c r="S73" s="12"/>
    </row>
    <row r="74" customFormat="false" ht="15" hidden="false" customHeight="false" outlineLevel="0" collapsed="false">
      <c r="A74" s="12" t="s">
        <v>2703</v>
      </c>
      <c r="B74" s="12" t="s">
        <v>1195</v>
      </c>
      <c r="C74" s="12" t="s">
        <v>2317</v>
      </c>
      <c r="D74" s="12" t="s">
        <v>2318</v>
      </c>
      <c r="E74" s="12" t="n">
        <v>12</v>
      </c>
      <c r="F74" s="12" t="n">
        <v>8</v>
      </c>
      <c r="G74" s="15" t="n">
        <v>24500</v>
      </c>
      <c r="H74" s="15" t="n">
        <v>28000</v>
      </c>
      <c r="I74" s="12" t="s">
        <v>2704</v>
      </c>
      <c r="J74" s="17" t="n">
        <v>46702</v>
      </c>
      <c r="K74" s="12" t="s">
        <v>1120</v>
      </c>
      <c r="L74" s="12" t="n">
        <v>8</v>
      </c>
      <c r="M74" s="15" t="n">
        <f aca="false">E74*G74</f>
        <v>294000</v>
      </c>
      <c r="N74" s="15" t="n">
        <f aca="false">E74*H74</f>
        <v>336000</v>
      </c>
      <c r="O74" s="18" t="n">
        <f aca="false">IF(H74=0,"",(H74-G74)/H74)</f>
        <v>0.125</v>
      </c>
      <c r="P74" s="12" t="n">
        <f aca="false">IF(J74="","",J74-README!$C$4)</f>
        <v>380</v>
      </c>
      <c r="Q74" s="12" t="str">
        <f aca="false">IF(E74=0,"Out of stock",IF(E74&lt;=F74,"Low stock","OK"))</f>
        <v>OK</v>
      </c>
      <c r="R74" s="12" t="str">
        <f aca="false">IF(J74="","No expiry",IF(P74&lt;0,"Expired",IF(P74&lt;=30,"Expiring &lt;=30 days","OK")))</f>
        <v>OK</v>
      </c>
      <c r="S74" s="12"/>
    </row>
    <row r="75" customFormat="false" ht="15" hidden="false" customHeight="false" outlineLevel="0" collapsed="false">
      <c r="A75" s="12" t="s">
        <v>2705</v>
      </c>
      <c r="B75" s="12" t="s">
        <v>1195</v>
      </c>
      <c r="C75" s="12" t="s">
        <v>2314</v>
      </c>
      <c r="D75" s="12" t="s">
        <v>2315</v>
      </c>
      <c r="E75" s="12" t="n">
        <v>32</v>
      </c>
      <c r="F75" s="12" t="n">
        <v>8</v>
      </c>
      <c r="G75" s="15" t="n">
        <v>14100</v>
      </c>
      <c r="H75" s="15" t="n">
        <v>16000</v>
      </c>
      <c r="I75" s="12" t="s">
        <v>2706</v>
      </c>
      <c r="J75" s="17" t="n">
        <v>46944</v>
      </c>
      <c r="K75" s="12" t="s">
        <v>1120</v>
      </c>
      <c r="L75" s="12" t="n">
        <v>22</v>
      </c>
      <c r="M75" s="15" t="n">
        <f aca="false">E75*G75</f>
        <v>451200</v>
      </c>
      <c r="N75" s="15" t="n">
        <f aca="false">E75*H75</f>
        <v>512000</v>
      </c>
      <c r="O75" s="18" t="n">
        <f aca="false">IF(H75=0,"",(H75-G75)/H75)</f>
        <v>0.11875</v>
      </c>
      <c r="P75" s="12" t="n">
        <f aca="false">IF(J75="","",J75-README!$C$4)</f>
        <v>622</v>
      </c>
      <c r="Q75" s="12" t="str">
        <f aca="false">IF(E75=0,"Out of stock",IF(E75&lt;=F75,"Low stock","OK"))</f>
        <v>OK</v>
      </c>
      <c r="R75" s="12" t="str">
        <f aca="false">IF(J75="","No expiry",IF(P75&lt;0,"Expired",IF(P75&lt;=30,"Expiring &lt;=30 days","OK")))</f>
        <v>OK</v>
      </c>
      <c r="S75" s="12"/>
    </row>
    <row r="76" customFormat="false" ht="15" hidden="false" customHeight="false" outlineLevel="0" collapsed="false">
      <c r="A76" s="12" t="s">
        <v>2707</v>
      </c>
      <c r="B76" s="12" t="s">
        <v>1195</v>
      </c>
      <c r="C76" s="12" t="s">
        <v>2320</v>
      </c>
      <c r="D76" s="12" t="s">
        <v>2321</v>
      </c>
      <c r="E76" s="12" t="n">
        <v>71</v>
      </c>
      <c r="F76" s="12" t="n">
        <v>28</v>
      </c>
      <c r="G76" s="15" t="n">
        <v>2900</v>
      </c>
      <c r="H76" s="15" t="n">
        <v>3500</v>
      </c>
      <c r="I76" s="12" t="s">
        <v>2708</v>
      </c>
      <c r="J76" s="17" t="n">
        <v>46978</v>
      </c>
      <c r="K76" s="12" t="s">
        <v>1120</v>
      </c>
      <c r="L76" s="12" t="n">
        <v>49</v>
      </c>
      <c r="M76" s="15" t="n">
        <f aca="false">E76*G76</f>
        <v>205900</v>
      </c>
      <c r="N76" s="15" t="n">
        <f aca="false">E76*H76</f>
        <v>248500</v>
      </c>
      <c r="O76" s="18" t="n">
        <f aca="false">IF(H76=0,"",(H76-G76)/H76)</f>
        <v>0.171428571428571</v>
      </c>
      <c r="P76" s="12" t="n">
        <f aca="false">IF(J76="","",J76-README!$C$4)</f>
        <v>656</v>
      </c>
      <c r="Q76" s="12" t="str">
        <f aca="false">IF(E76=0,"Out of stock",IF(E76&lt;=F76,"Low stock","OK"))</f>
        <v>OK</v>
      </c>
      <c r="R76" s="12" t="str">
        <f aca="false">IF(J76="","No expiry",IF(P76&lt;0,"Expired",IF(P76&lt;=30,"Expiring &lt;=30 days","OK")))</f>
        <v>OK</v>
      </c>
      <c r="S76" s="12"/>
    </row>
    <row r="77" customFormat="false" ht="15" hidden="false" customHeight="false" outlineLevel="0" collapsed="false">
      <c r="A77" s="12" t="s">
        <v>2709</v>
      </c>
      <c r="B77" s="12" t="s">
        <v>1195</v>
      </c>
      <c r="C77" s="12" t="s">
        <v>2323</v>
      </c>
      <c r="D77" s="12" t="s">
        <v>2324</v>
      </c>
      <c r="E77" s="12" t="n">
        <v>45</v>
      </c>
      <c r="F77" s="12" t="n">
        <v>8</v>
      </c>
      <c r="G77" s="15" t="n">
        <v>11900</v>
      </c>
      <c r="H77" s="15" t="n">
        <v>14000</v>
      </c>
      <c r="I77" s="12" t="s">
        <v>2710</v>
      </c>
      <c r="J77" s="17" t="n">
        <v>46705</v>
      </c>
      <c r="K77" s="12" t="s">
        <v>1111</v>
      </c>
      <c r="L77" s="12" t="n">
        <v>0</v>
      </c>
      <c r="M77" s="15" t="n">
        <f aca="false">E77*G77</f>
        <v>535500</v>
      </c>
      <c r="N77" s="15" t="n">
        <f aca="false">E77*H77</f>
        <v>630000</v>
      </c>
      <c r="O77" s="18" t="n">
        <f aca="false">IF(H77=0,"",(H77-G77)/H77)</f>
        <v>0.15</v>
      </c>
      <c r="P77" s="12" t="n">
        <f aca="false">IF(J77="","",J77-README!$C$4)</f>
        <v>383</v>
      </c>
      <c r="Q77" s="12" t="str">
        <f aca="false">IF(E77=0,"Out of stock",IF(E77&lt;=F77,"Low stock","OK"))</f>
        <v>OK</v>
      </c>
      <c r="R77" s="12" t="str">
        <f aca="false">IF(J77="","No expiry",IF(P77&lt;0,"Expired",IF(P77&lt;=30,"Expiring &lt;=30 days","OK")))</f>
        <v>OK</v>
      </c>
      <c r="S77" s="12"/>
    </row>
    <row r="78" customFormat="false" ht="15" hidden="false" customHeight="false" outlineLevel="0" collapsed="false">
      <c r="A78" s="12" t="s">
        <v>2711</v>
      </c>
      <c r="B78" s="12" t="s">
        <v>1195</v>
      </c>
      <c r="C78" s="12" t="s">
        <v>2329</v>
      </c>
      <c r="D78" s="12" t="s">
        <v>2330</v>
      </c>
      <c r="E78" s="12" t="n">
        <v>59</v>
      </c>
      <c r="F78" s="12" t="n">
        <v>8</v>
      </c>
      <c r="G78" s="15" t="n">
        <v>12200</v>
      </c>
      <c r="H78" s="15" t="n">
        <v>14000</v>
      </c>
      <c r="I78" s="12" t="s">
        <v>2712</v>
      </c>
      <c r="J78" s="17" t="n">
        <v>46585</v>
      </c>
      <c r="K78" s="12" t="s">
        <v>1111</v>
      </c>
      <c r="L78" s="12" t="n">
        <v>0</v>
      </c>
      <c r="M78" s="15" t="n">
        <f aca="false">E78*G78</f>
        <v>719800</v>
      </c>
      <c r="N78" s="15" t="n">
        <f aca="false">E78*H78</f>
        <v>826000</v>
      </c>
      <c r="O78" s="18" t="n">
        <f aca="false">IF(H78=0,"",(H78-G78)/H78)</f>
        <v>0.128571428571429</v>
      </c>
      <c r="P78" s="12" t="n">
        <f aca="false">IF(J78="","",J78-README!$C$4)</f>
        <v>263</v>
      </c>
      <c r="Q78" s="12" t="str">
        <f aca="false">IF(E78=0,"Out of stock",IF(E78&lt;=F78,"Low stock","OK"))</f>
        <v>OK</v>
      </c>
      <c r="R78" s="12" t="str">
        <f aca="false">IF(J78="","No expiry",IF(P78&lt;0,"Expired",IF(P78&lt;=30,"Expiring &lt;=30 days","OK")))</f>
        <v>OK</v>
      </c>
      <c r="S78" s="12"/>
    </row>
    <row r="79" customFormat="false" ht="15" hidden="false" customHeight="false" outlineLevel="0" collapsed="false">
      <c r="A79" s="12" t="s">
        <v>2713</v>
      </c>
      <c r="B79" s="12" t="s">
        <v>1195</v>
      </c>
      <c r="C79" s="12" t="s">
        <v>2326</v>
      </c>
      <c r="D79" s="12" t="s">
        <v>2327</v>
      </c>
      <c r="E79" s="12" t="n">
        <v>26</v>
      </c>
      <c r="F79" s="12" t="n">
        <v>8</v>
      </c>
      <c r="G79" s="15" t="n">
        <v>6500</v>
      </c>
      <c r="H79" s="15" t="n">
        <v>8000</v>
      </c>
      <c r="I79" s="12" t="s">
        <v>2714</v>
      </c>
      <c r="J79" s="17" t="n">
        <v>46619</v>
      </c>
      <c r="K79" s="12" t="s">
        <v>1111</v>
      </c>
      <c r="L79" s="12" t="n">
        <v>0</v>
      </c>
      <c r="M79" s="15" t="n">
        <f aca="false">E79*G79</f>
        <v>169000</v>
      </c>
      <c r="N79" s="15" t="n">
        <f aca="false">E79*H79</f>
        <v>208000</v>
      </c>
      <c r="O79" s="18" t="n">
        <f aca="false">IF(H79=0,"",(H79-G79)/H79)</f>
        <v>0.1875</v>
      </c>
      <c r="P79" s="12" t="n">
        <f aca="false">IF(J79="","",J79-README!$C$4)</f>
        <v>297</v>
      </c>
      <c r="Q79" s="12" t="str">
        <f aca="false">IF(E79=0,"Out of stock",IF(E79&lt;=F79,"Low stock","OK"))</f>
        <v>OK</v>
      </c>
      <c r="R79" s="12" t="str">
        <f aca="false">IF(J79="","No expiry",IF(P79&lt;0,"Expired",IF(P79&lt;=30,"Expiring &lt;=30 days","OK")))</f>
        <v>OK</v>
      </c>
      <c r="S79" s="12"/>
    </row>
    <row r="80" customFormat="false" ht="15" hidden="false" customHeight="false" outlineLevel="0" collapsed="false">
      <c r="A80" s="12" t="s">
        <v>2715</v>
      </c>
      <c r="B80" s="12" t="s">
        <v>1195</v>
      </c>
      <c r="C80" s="12" t="s">
        <v>2335</v>
      </c>
      <c r="D80" s="12" t="s">
        <v>2336</v>
      </c>
      <c r="E80" s="12" t="n">
        <v>19</v>
      </c>
      <c r="F80" s="12" t="n">
        <v>3</v>
      </c>
      <c r="G80" s="15" t="n">
        <v>33700</v>
      </c>
      <c r="H80" s="15" t="n">
        <v>38000</v>
      </c>
      <c r="I80" s="12" t="s">
        <v>2716</v>
      </c>
      <c r="J80" s="17" t="n">
        <v>46532</v>
      </c>
      <c r="K80" s="12" t="s">
        <v>1120</v>
      </c>
      <c r="L80" s="12" t="n">
        <v>13</v>
      </c>
      <c r="M80" s="15" t="n">
        <f aca="false">E80*G80</f>
        <v>640300</v>
      </c>
      <c r="N80" s="15" t="n">
        <f aca="false">E80*H80</f>
        <v>722000</v>
      </c>
      <c r="O80" s="18" t="n">
        <f aca="false">IF(H80=0,"",(H80-G80)/H80)</f>
        <v>0.113157894736842</v>
      </c>
      <c r="P80" s="12" t="n">
        <f aca="false">IF(J80="","",J80-README!$C$4)</f>
        <v>210</v>
      </c>
      <c r="Q80" s="12" t="str">
        <f aca="false">IF(E80=0,"Out of stock",IF(E80&lt;=F80,"Low stock","OK"))</f>
        <v>OK</v>
      </c>
      <c r="R80" s="12" t="str">
        <f aca="false">IF(J80="","No expiry",IF(P80&lt;0,"Expired",IF(P80&lt;=30,"Expiring &lt;=30 days","OK")))</f>
        <v>OK</v>
      </c>
      <c r="S80" s="12"/>
    </row>
    <row r="81" customFormat="false" ht="15" hidden="false" customHeight="false" outlineLevel="0" collapsed="false">
      <c r="A81" s="12" t="s">
        <v>2717</v>
      </c>
      <c r="B81" s="12" t="s">
        <v>1195</v>
      </c>
      <c r="C81" s="12" t="s">
        <v>2338</v>
      </c>
      <c r="D81" s="12" t="s">
        <v>2339</v>
      </c>
      <c r="E81" s="12" t="n">
        <v>29</v>
      </c>
      <c r="F81" s="12" t="n">
        <v>8</v>
      </c>
      <c r="G81" s="15" t="n">
        <v>10700</v>
      </c>
      <c r="H81" s="15" t="n">
        <v>12000</v>
      </c>
      <c r="I81" s="12" t="s">
        <v>2718</v>
      </c>
      <c r="J81" s="17" t="n">
        <v>46682</v>
      </c>
      <c r="K81" s="12" t="s">
        <v>1120</v>
      </c>
      <c r="L81" s="12" t="n">
        <v>20</v>
      </c>
      <c r="M81" s="15" t="n">
        <f aca="false">E81*G81</f>
        <v>310300</v>
      </c>
      <c r="N81" s="15" t="n">
        <f aca="false">E81*H81</f>
        <v>348000</v>
      </c>
      <c r="O81" s="18" t="n">
        <f aca="false">IF(H81=0,"",(H81-G81)/H81)</f>
        <v>0.108333333333333</v>
      </c>
      <c r="P81" s="12" t="n">
        <f aca="false">IF(J81="","",J81-README!$C$4)</f>
        <v>360</v>
      </c>
      <c r="Q81" s="12" t="str">
        <f aca="false">IF(E81=0,"Out of stock",IF(E81&lt;=F81,"Low stock","OK"))</f>
        <v>OK</v>
      </c>
      <c r="R81" s="12" t="str">
        <f aca="false">IF(J81="","No expiry",IF(P81&lt;0,"Expired",IF(P81&lt;=30,"Expiring &lt;=30 days","OK")))</f>
        <v>OK</v>
      </c>
      <c r="S81" s="12"/>
    </row>
    <row r="82" customFormat="false" ht="15" hidden="false" customHeight="false" outlineLevel="0" collapsed="false">
      <c r="A82" s="12" t="s">
        <v>2719</v>
      </c>
      <c r="B82" s="12" t="s">
        <v>1195</v>
      </c>
      <c r="C82" s="12" t="s">
        <v>2341</v>
      </c>
      <c r="D82" s="12" t="s">
        <v>2342</v>
      </c>
      <c r="E82" s="12" t="n">
        <v>49</v>
      </c>
      <c r="F82" s="12" t="n">
        <v>8</v>
      </c>
      <c r="G82" s="15" t="n">
        <v>74400</v>
      </c>
      <c r="H82" s="15" t="n">
        <v>85000</v>
      </c>
      <c r="I82" s="12" t="s">
        <v>2720</v>
      </c>
      <c r="J82" s="17" t="n">
        <v>46898</v>
      </c>
      <c r="K82" s="12" t="s">
        <v>1120</v>
      </c>
      <c r="L82" s="12" t="n">
        <v>34</v>
      </c>
      <c r="M82" s="15" t="n">
        <f aca="false">E82*G82</f>
        <v>3645600</v>
      </c>
      <c r="N82" s="15" t="n">
        <f aca="false">E82*H82</f>
        <v>4165000</v>
      </c>
      <c r="O82" s="18" t="n">
        <f aca="false">IF(H82=0,"",(H82-G82)/H82)</f>
        <v>0.124705882352941</v>
      </c>
      <c r="P82" s="12" t="n">
        <f aca="false">IF(J82="","",J82-README!$C$4)</f>
        <v>576</v>
      </c>
      <c r="Q82" s="12" t="str">
        <f aca="false">IF(E82=0,"Out of stock",IF(E82&lt;=F82,"Low stock","OK"))</f>
        <v>OK</v>
      </c>
      <c r="R82" s="12" t="str">
        <f aca="false">IF(J82="","No expiry",IF(P82&lt;0,"Expired",IF(P82&lt;=30,"Expiring &lt;=30 days","OK")))</f>
        <v>OK</v>
      </c>
      <c r="S82" s="12"/>
    </row>
    <row r="83" customFormat="false" ht="15" hidden="false" customHeight="false" outlineLevel="0" collapsed="false">
      <c r="A83" s="12" t="s">
        <v>2721</v>
      </c>
      <c r="B83" s="12" t="s">
        <v>1195</v>
      </c>
      <c r="C83" s="12" t="s">
        <v>2348</v>
      </c>
      <c r="D83" s="12" t="s">
        <v>2349</v>
      </c>
      <c r="E83" s="12" t="n">
        <v>46</v>
      </c>
      <c r="F83" s="12" t="n">
        <v>8</v>
      </c>
      <c r="G83" s="15" t="n">
        <v>24800</v>
      </c>
      <c r="H83" s="15" t="n">
        <v>30000</v>
      </c>
      <c r="I83" s="12" t="s">
        <v>2722</v>
      </c>
      <c r="J83" s="17" t="n">
        <v>46561</v>
      </c>
      <c r="K83" s="12" t="s">
        <v>1120</v>
      </c>
      <c r="L83" s="12" t="n">
        <v>32</v>
      </c>
      <c r="M83" s="15" t="n">
        <f aca="false">E83*G83</f>
        <v>1140800</v>
      </c>
      <c r="N83" s="15" t="n">
        <f aca="false">E83*H83</f>
        <v>1380000</v>
      </c>
      <c r="O83" s="18" t="n">
        <f aca="false">IF(H83=0,"",(H83-G83)/H83)</f>
        <v>0.173333333333333</v>
      </c>
      <c r="P83" s="12" t="n">
        <f aca="false">IF(J83="","",J83-README!$C$4)</f>
        <v>239</v>
      </c>
      <c r="Q83" s="12" t="str">
        <f aca="false">IF(E83=0,"Out of stock",IF(E83&lt;=F83,"Low stock","OK"))</f>
        <v>OK</v>
      </c>
      <c r="R83" s="12" t="str">
        <f aca="false">IF(J83="","No expiry",IF(P83&lt;0,"Expired",IF(P83&lt;=30,"Expiring &lt;=30 days","OK")))</f>
        <v>OK</v>
      </c>
      <c r="S83" s="12"/>
    </row>
    <row r="84" customFormat="false" ht="15" hidden="false" customHeight="false" outlineLevel="0" collapsed="false">
      <c r="A84" s="12" t="s">
        <v>2723</v>
      </c>
      <c r="B84" s="12" t="s">
        <v>1195</v>
      </c>
      <c r="C84" s="12" t="s">
        <v>2344</v>
      </c>
      <c r="D84" s="12" t="s">
        <v>2346</v>
      </c>
      <c r="E84" s="12" t="n">
        <v>54</v>
      </c>
      <c r="F84" s="12" t="n">
        <v>8</v>
      </c>
      <c r="G84" s="15" t="n">
        <v>7400</v>
      </c>
      <c r="H84" s="15" t="n">
        <v>9000</v>
      </c>
      <c r="I84" s="12" t="s">
        <v>2724</v>
      </c>
      <c r="J84" s="17" t="n">
        <v>46893</v>
      </c>
      <c r="K84" s="12" t="s">
        <v>1120</v>
      </c>
      <c r="L84" s="12" t="n">
        <v>37</v>
      </c>
      <c r="M84" s="15" t="n">
        <f aca="false">E84*G84</f>
        <v>399600</v>
      </c>
      <c r="N84" s="15" t="n">
        <f aca="false">E84*H84</f>
        <v>486000</v>
      </c>
      <c r="O84" s="18" t="n">
        <f aca="false">IF(H84=0,"",(H84-G84)/H84)</f>
        <v>0.177777777777778</v>
      </c>
      <c r="P84" s="12" t="n">
        <f aca="false">IF(J84="","",J84-README!$C$4)</f>
        <v>571</v>
      </c>
      <c r="Q84" s="12" t="str">
        <f aca="false">IF(E84=0,"Out of stock",IF(E84&lt;=F84,"Low stock","OK"))</f>
        <v>OK</v>
      </c>
      <c r="R84" s="12" t="str">
        <f aca="false">IF(J84="","No expiry",IF(P84&lt;0,"Expired",IF(P84&lt;=30,"Expiring &lt;=30 days","OK")))</f>
        <v>OK</v>
      </c>
      <c r="S84" s="12"/>
    </row>
    <row r="85" customFormat="false" ht="15" hidden="false" customHeight="false" outlineLevel="0" collapsed="false">
      <c r="A85" s="12" t="s">
        <v>2725</v>
      </c>
      <c r="B85" s="12" t="s">
        <v>1195</v>
      </c>
      <c r="C85" s="12" t="s">
        <v>2351</v>
      </c>
      <c r="D85" s="12" t="s">
        <v>2352</v>
      </c>
      <c r="E85" s="12" t="n">
        <v>53</v>
      </c>
      <c r="F85" s="12" t="n">
        <v>8</v>
      </c>
      <c r="G85" s="15" t="n">
        <v>19300</v>
      </c>
      <c r="H85" s="15" t="n">
        <v>22000</v>
      </c>
      <c r="I85" s="12" t="s">
        <v>2726</v>
      </c>
      <c r="J85" s="17" t="n">
        <v>46616</v>
      </c>
      <c r="K85" s="12" t="s">
        <v>1120</v>
      </c>
      <c r="L85" s="12" t="n">
        <v>37</v>
      </c>
      <c r="M85" s="15" t="n">
        <f aca="false">E85*G85</f>
        <v>1022900</v>
      </c>
      <c r="N85" s="15" t="n">
        <f aca="false">E85*H85</f>
        <v>1166000</v>
      </c>
      <c r="O85" s="18" t="n">
        <f aca="false">IF(H85=0,"",(H85-G85)/H85)</f>
        <v>0.122727272727273</v>
      </c>
      <c r="P85" s="12" t="n">
        <f aca="false">IF(J85="","",J85-README!$C$4)</f>
        <v>294</v>
      </c>
      <c r="Q85" s="12" t="str">
        <f aca="false">IF(E85=0,"Out of stock",IF(E85&lt;=F85,"Low stock","OK"))</f>
        <v>OK</v>
      </c>
      <c r="R85" s="12" t="str">
        <f aca="false">IF(J85="","No expiry",IF(P85&lt;0,"Expired",IF(P85&lt;=30,"Expiring &lt;=30 days","OK")))</f>
        <v>OK</v>
      </c>
      <c r="S85" s="12"/>
    </row>
    <row r="86" customFormat="false" ht="15" hidden="false" customHeight="false" outlineLevel="0" collapsed="false">
      <c r="A86" s="12" t="s">
        <v>2727</v>
      </c>
      <c r="B86" s="12" t="s">
        <v>1195</v>
      </c>
      <c r="C86" s="12" t="s">
        <v>2354</v>
      </c>
      <c r="D86" s="12" t="s">
        <v>2355</v>
      </c>
      <c r="E86" s="12" t="n">
        <v>44</v>
      </c>
      <c r="F86" s="12" t="n">
        <v>8</v>
      </c>
      <c r="G86" s="15" t="n">
        <v>6100</v>
      </c>
      <c r="H86" s="15" t="n">
        <v>7000</v>
      </c>
      <c r="I86" s="12" t="s">
        <v>2728</v>
      </c>
      <c r="J86" s="17" t="n">
        <v>47069</v>
      </c>
      <c r="K86" s="12" t="s">
        <v>1120</v>
      </c>
      <c r="L86" s="12" t="n">
        <v>30</v>
      </c>
      <c r="M86" s="15" t="n">
        <f aca="false">E86*G86</f>
        <v>268400</v>
      </c>
      <c r="N86" s="15" t="n">
        <f aca="false">E86*H86</f>
        <v>308000</v>
      </c>
      <c r="O86" s="18" t="n">
        <f aca="false">IF(H86=0,"",(H86-G86)/H86)</f>
        <v>0.128571428571429</v>
      </c>
      <c r="P86" s="12" t="n">
        <f aca="false">IF(J86="","",J86-README!$C$4)</f>
        <v>747</v>
      </c>
      <c r="Q86" s="12" t="str">
        <f aca="false">IF(E86=0,"Out of stock",IF(E86&lt;=F86,"Low stock","OK"))</f>
        <v>OK</v>
      </c>
      <c r="R86" s="12" t="str">
        <f aca="false">IF(J86="","No expiry",IF(P86&lt;0,"Expired",IF(P86&lt;=30,"Expiring &lt;=30 days","OK")))</f>
        <v>OK</v>
      </c>
      <c r="S86" s="12"/>
    </row>
    <row r="87" customFormat="false" ht="15" hidden="false" customHeight="false" outlineLevel="0" collapsed="false">
      <c r="A87" s="12" t="s">
        <v>2729</v>
      </c>
      <c r="B87" s="12" t="s">
        <v>1195</v>
      </c>
      <c r="C87" s="12" t="s">
        <v>2357</v>
      </c>
      <c r="D87" s="12" t="s">
        <v>2359</v>
      </c>
      <c r="E87" s="12" t="n">
        <v>42</v>
      </c>
      <c r="F87" s="12" t="n">
        <v>8</v>
      </c>
      <c r="G87" s="15" t="n">
        <v>10700</v>
      </c>
      <c r="H87" s="15" t="n">
        <v>13000</v>
      </c>
      <c r="I87" s="12" t="s">
        <v>2730</v>
      </c>
      <c r="J87" s="17" t="n">
        <v>46564</v>
      </c>
      <c r="K87" s="12" t="s">
        <v>1120</v>
      </c>
      <c r="L87" s="12" t="n">
        <v>29</v>
      </c>
      <c r="M87" s="15" t="n">
        <f aca="false">E87*G87</f>
        <v>449400</v>
      </c>
      <c r="N87" s="15" t="n">
        <f aca="false">E87*H87</f>
        <v>546000</v>
      </c>
      <c r="O87" s="18" t="n">
        <f aca="false">IF(H87=0,"",(H87-G87)/H87)</f>
        <v>0.176923076923077</v>
      </c>
      <c r="P87" s="12" t="n">
        <f aca="false">IF(J87="","",J87-README!$C$4)</f>
        <v>242</v>
      </c>
      <c r="Q87" s="12" t="str">
        <f aca="false">IF(E87=0,"Out of stock",IF(E87&lt;=F87,"Low stock","OK"))</f>
        <v>OK</v>
      </c>
      <c r="R87" s="12" t="str">
        <f aca="false">IF(J87="","No expiry",IF(P87&lt;0,"Expired",IF(P87&lt;=30,"Expiring &lt;=30 days","OK")))</f>
        <v>OK</v>
      </c>
      <c r="S87" s="12"/>
    </row>
    <row r="88" customFormat="false" ht="15" hidden="false" customHeight="false" outlineLevel="0" collapsed="false">
      <c r="A88" s="12" t="s">
        <v>2731</v>
      </c>
      <c r="B88" s="12" t="s">
        <v>1195</v>
      </c>
      <c r="C88" s="12" t="s">
        <v>2361</v>
      </c>
      <c r="D88" s="12" t="s">
        <v>2363</v>
      </c>
      <c r="E88" s="12" t="n">
        <v>27</v>
      </c>
      <c r="F88" s="12" t="n">
        <v>8</v>
      </c>
      <c r="G88" s="15" t="n">
        <v>13400</v>
      </c>
      <c r="H88" s="15" t="n">
        <v>15000</v>
      </c>
      <c r="I88" s="12" t="s">
        <v>2732</v>
      </c>
      <c r="J88" s="17" t="n">
        <v>46650</v>
      </c>
      <c r="K88" s="12" t="s">
        <v>1120</v>
      </c>
      <c r="L88" s="12" t="n">
        <v>18</v>
      </c>
      <c r="M88" s="15" t="n">
        <f aca="false">E88*G88</f>
        <v>361800</v>
      </c>
      <c r="N88" s="15" t="n">
        <f aca="false">E88*H88</f>
        <v>405000</v>
      </c>
      <c r="O88" s="18" t="n">
        <f aca="false">IF(H88=0,"",(H88-G88)/H88)</f>
        <v>0.106666666666667</v>
      </c>
      <c r="P88" s="12" t="n">
        <f aca="false">IF(J88="","",J88-README!$C$4)</f>
        <v>328</v>
      </c>
      <c r="Q88" s="12" t="str">
        <f aca="false">IF(E88=0,"Out of stock",IF(E88&lt;=F88,"Low stock","OK"))</f>
        <v>OK</v>
      </c>
      <c r="R88" s="12" t="str">
        <f aca="false">IF(J88="","No expiry",IF(P88&lt;0,"Expired",IF(P88&lt;=30,"Expiring &lt;=30 days","OK")))</f>
        <v>OK</v>
      </c>
      <c r="S88" s="12"/>
    </row>
    <row r="89" customFormat="false" ht="15" hidden="false" customHeight="false" outlineLevel="0" collapsed="false">
      <c r="A89" s="12" t="s">
        <v>2733</v>
      </c>
      <c r="B89" s="12" t="s">
        <v>1195</v>
      </c>
      <c r="C89" s="12" t="s">
        <v>2373</v>
      </c>
      <c r="D89" s="12" t="s">
        <v>2375</v>
      </c>
      <c r="E89" s="12" t="n">
        <v>30</v>
      </c>
      <c r="F89" s="12" t="n">
        <v>6</v>
      </c>
      <c r="G89" s="15" t="n">
        <v>18700</v>
      </c>
      <c r="H89" s="15" t="n">
        <v>22000</v>
      </c>
      <c r="I89" s="12" t="s">
        <v>2734</v>
      </c>
      <c r="J89" s="17" t="n">
        <v>46608</v>
      </c>
      <c r="K89" s="12" t="s">
        <v>1120</v>
      </c>
      <c r="L89" s="12" t="n">
        <v>21</v>
      </c>
      <c r="M89" s="15" t="n">
        <f aca="false">E89*G89</f>
        <v>561000</v>
      </c>
      <c r="N89" s="15" t="n">
        <f aca="false">E89*H89</f>
        <v>660000</v>
      </c>
      <c r="O89" s="18" t="n">
        <f aca="false">IF(H89=0,"",(H89-G89)/H89)</f>
        <v>0.15</v>
      </c>
      <c r="P89" s="12" t="n">
        <f aca="false">IF(J89="","",J89-README!$C$4)</f>
        <v>286</v>
      </c>
      <c r="Q89" s="12" t="str">
        <f aca="false">IF(E89=0,"Out of stock",IF(E89&lt;=F89,"Low stock","OK"))</f>
        <v>OK</v>
      </c>
      <c r="R89" s="12" t="str">
        <f aca="false">IF(J89="","No expiry",IF(P89&lt;0,"Expired",IF(P89&lt;=30,"Expiring &lt;=30 days","OK")))</f>
        <v>OK</v>
      </c>
      <c r="S89" s="12"/>
    </row>
    <row r="90" customFormat="false" ht="15" hidden="false" customHeight="false" outlineLevel="0" collapsed="false">
      <c r="A90" s="12" t="s">
        <v>2735</v>
      </c>
      <c r="B90" s="12" t="s">
        <v>1195</v>
      </c>
      <c r="C90" s="12" t="s">
        <v>2365</v>
      </c>
      <c r="D90" s="12" t="s">
        <v>2367</v>
      </c>
      <c r="E90" s="12" t="n">
        <v>12</v>
      </c>
      <c r="F90" s="12" t="n">
        <v>6</v>
      </c>
      <c r="G90" s="15" t="n">
        <v>3500</v>
      </c>
      <c r="H90" s="15" t="n">
        <v>4000</v>
      </c>
      <c r="I90" s="12" t="s">
        <v>2736</v>
      </c>
      <c r="J90" s="17" t="n">
        <v>46384</v>
      </c>
      <c r="K90" s="12" t="s">
        <v>1120</v>
      </c>
      <c r="L90" s="12" t="n">
        <v>8</v>
      </c>
      <c r="M90" s="15" t="n">
        <f aca="false">E90*G90</f>
        <v>42000</v>
      </c>
      <c r="N90" s="15" t="n">
        <f aca="false">E90*H90</f>
        <v>48000</v>
      </c>
      <c r="O90" s="18" t="n">
        <f aca="false">IF(H90=0,"",(H90-G90)/H90)</f>
        <v>0.125</v>
      </c>
      <c r="P90" s="12" t="n">
        <f aca="false">IF(J90="","",J90-README!$C$4)</f>
        <v>62</v>
      </c>
      <c r="Q90" s="12" t="str">
        <f aca="false">IF(E90=0,"Out of stock",IF(E90&lt;=F90,"Low stock","OK"))</f>
        <v>OK</v>
      </c>
      <c r="R90" s="12" t="str">
        <f aca="false">IF(J90="","No expiry",IF(P90&lt;0,"Expired",IF(P90&lt;=30,"Expiring &lt;=30 days","OK")))</f>
        <v>OK</v>
      </c>
      <c r="S90" s="12"/>
    </row>
    <row r="91" customFormat="false" ht="15" hidden="false" customHeight="false" outlineLevel="0" collapsed="false">
      <c r="A91" s="12" t="s">
        <v>2737</v>
      </c>
      <c r="B91" s="12" t="s">
        <v>1195</v>
      </c>
      <c r="C91" s="12" t="s">
        <v>2369</v>
      </c>
      <c r="D91" s="12" t="s">
        <v>2371</v>
      </c>
      <c r="E91" s="12" t="n">
        <v>7</v>
      </c>
      <c r="F91" s="12" t="n">
        <v>6</v>
      </c>
      <c r="G91" s="15" t="n">
        <v>10700</v>
      </c>
      <c r="H91" s="15" t="n">
        <v>13000</v>
      </c>
      <c r="I91" s="12" t="s">
        <v>2738</v>
      </c>
      <c r="J91" s="17" t="n">
        <v>46414</v>
      </c>
      <c r="K91" s="12" t="s">
        <v>1120</v>
      </c>
      <c r="L91" s="12" t="n">
        <v>4</v>
      </c>
      <c r="M91" s="15" t="n">
        <f aca="false">E91*G91</f>
        <v>74900</v>
      </c>
      <c r="N91" s="15" t="n">
        <f aca="false">E91*H91</f>
        <v>91000</v>
      </c>
      <c r="O91" s="18" t="n">
        <f aca="false">IF(H91=0,"",(H91-G91)/H91)</f>
        <v>0.176923076923077</v>
      </c>
      <c r="P91" s="12" t="n">
        <f aca="false">IF(J91="","",J91-README!$C$4)</f>
        <v>92</v>
      </c>
      <c r="Q91" s="12" t="str">
        <f aca="false">IF(E91=0,"Out of stock",IF(E91&lt;=F91,"Low stock","OK"))</f>
        <v>OK</v>
      </c>
      <c r="R91" s="12" t="str">
        <f aca="false">IF(J91="","No expiry",IF(P91&lt;0,"Expired",IF(P91&lt;=30,"Expiring &lt;=30 days","OK")))</f>
        <v>OK</v>
      </c>
      <c r="S91" s="12"/>
    </row>
    <row r="92" customFormat="false" ht="15" hidden="false" customHeight="false" outlineLevel="0" collapsed="false">
      <c r="A92" s="12" t="s">
        <v>2739</v>
      </c>
      <c r="B92" s="12" t="s">
        <v>1195</v>
      </c>
      <c r="C92" s="12" t="s">
        <v>2377</v>
      </c>
      <c r="D92" s="12" t="s">
        <v>2378</v>
      </c>
      <c r="E92" s="12" t="n">
        <v>22</v>
      </c>
      <c r="F92" s="12" t="n">
        <v>6</v>
      </c>
      <c r="G92" s="15" t="n">
        <v>2500</v>
      </c>
      <c r="H92" s="15" t="n">
        <v>3000</v>
      </c>
      <c r="I92" s="12" t="s">
        <v>2740</v>
      </c>
      <c r="J92" s="17" t="n">
        <v>46575</v>
      </c>
      <c r="K92" s="12" t="s">
        <v>1120</v>
      </c>
      <c r="L92" s="12" t="n">
        <v>15</v>
      </c>
      <c r="M92" s="15" t="n">
        <f aca="false">E92*G92</f>
        <v>55000</v>
      </c>
      <c r="N92" s="15" t="n">
        <f aca="false">E92*H92</f>
        <v>66000</v>
      </c>
      <c r="O92" s="18" t="n">
        <f aca="false">IF(H92=0,"",(H92-G92)/H92)</f>
        <v>0.166666666666667</v>
      </c>
      <c r="P92" s="12" t="n">
        <f aca="false">IF(J92="","",J92-README!$C$4)</f>
        <v>253</v>
      </c>
      <c r="Q92" s="12" t="str">
        <f aca="false">IF(E92=0,"Out of stock",IF(E92&lt;=F92,"Low stock","OK"))</f>
        <v>OK</v>
      </c>
      <c r="R92" s="12" t="str">
        <f aca="false">IF(J92="","No expiry",IF(P92&lt;0,"Expired",IF(P92&lt;=30,"Expiring &lt;=30 days","OK")))</f>
        <v>OK</v>
      </c>
      <c r="S92" s="12"/>
    </row>
    <row r="93" customFormat="false" ht="15" hidden="false" customHeight="false" outlineLevel="0" collapsed="false">
      <c r="A93" s="12" t="s">
        <v>2741</v>
      </c>
      <c r="B93" s="12" t="s">
        <v>1195</v>
      </c>
      <c r="C93" s="12" t="s">
        <v>2380</v>
      </c>
      <c r="D93" s="12" t="s">
        <v>2382</v>
      </c>
      <c r="E93" s="12" t="n">
        <v>17</v>
      </c>
      <c r="F93" s="12" t="n">
        <v>6</v>
      </c>
      <c r="G93" s="15" t="n">
        <v>4300</v>
      </c>
      <c r="H93" s="15" t="n">
        <v>5000</v>
      </c>
      <c r="I93" s="12" t="s">
        <v>2742</v>
      </c>
      <c r="J93" s="17" t="n">
        <v>46409</v>
      </c>
      <c r="K93" s="12" t="s">
        <v>1120</v>
      </c>
      <c r="L93" s="12" t="n">
        <v>11</v>
      </c>
      <c r="M93" s="15" t="n">
        <f aca="false">E93*G93</f>
        <v>73100</v>
      </c>
      <c r="N93" s="15" t="n">
        <f aca="false">E93*H93</f>
        <v>85000</v>
      </c>
      <c r="O93" s="18" t="n">
        <f aca="false">IF(H93=0,"",(H93-G93)/H93)</f>
        <v>0.14</v>
      </c>
      <c r="P93" s="12" t="n">
        <f aca="false">IF(J93="","",J93-README!$C$4)</f>
        <v>87</v>
      </c>
      <c r="Q93" s="12" t="str">
        <f aca="false">IF(E93=0,"Out of stock",IF(E93&lt;=F93,"Low stock","OK"))</f>
        <v>OK</v>
      </c>
      <c r="R93" s="12" t="str">
        <f aca="false">IF(J93="","No expiry",IF(P93&lt;0,"Expired",IF(P93&lt;=30,"Expiring &lt;=30 days","OK")))</f>
        <v>OK</v>
      </c>
      <c r="S93" s="12"/>
    </row>
    <row r="94" customFormat="false" ht="15" hidden="false" customHeight="false" outlineLevel="0" collapsed="false">
      <c r="A94" s="12" t="s">
        <v>2743</v>
      </c>
      <c r="B94" s="12" t="s">
        <v>1195</v>
      </c>
      <c r="C94" s="12" t="s">
        <v>2387</v>
      </c>
      <c r="D94" s="12" t="s">
        <v>2388</v>
      </c>
      <c r="E94" s="12" t="n">
        <v>24</v>
      </c>
      <c r="F94" s="12" t="n">
        <v>6</v>
      </c>
      <c r="G94" s="15" t="n">
        <v>21100</v>
      </c>
      <c r="H94" s="15" t="n">
        <v>25000</v>
      </c>
      <c r="I94" s="12" t="s">
        <v>2744</v>
      </c>
      <c r="J94" s="17" t="n">
        <v>46374</v>
      </c>
      <c r="K94" s="12" t="s">
        <v>1120</v>
      </c>
      <c r="L94" s="12" t="n">
        <v>16</v>
      </c>
      <c r="M94" s="15" t="n">
        <f aca="false">E94*G94</f>
        <v>506400</v>
      </c>
      <c r="N94" s="15" t="n">
        <f aca="false">E94*H94</f>
        <v>600000</v>
      </c>
      <c r="O94" s="18" t="n">
        <f aca="false">IF(H94=0,"",(H94-G94)/H94)</f>
        <v>0.156</v>
      </c>
      <c r="P94" s="12" t="n">
        <f aca="false">IF(J94="","",J94-README!$C$4)</f>
        <v>52</v>
      </c>
      <c r="Q94" s="12" t="str">
        <f aca="false">IF(E94=0,"Out of stock",IF(E94&lt;=F94,"Low stock","OK"))</f>
        <v>OK</v>
      </c>
      <c r="R94" s="12" t="str">
        <f aca="false">IF(J94="","No expiry",IF(P94&lt;0,"Expired",IF(P94&lt;=30,"Expiring &lt;=30 days","OK")))</f>
        <v>OK</v>
      </c>
      <c r="S94" s="12"/>
    </row>
    <row r="95" customFormat="false" ht="15" hidden="false" customHeight="false" outlineLevel="0" collapsed="false">
      <c r="A95" s="12" t="s">
        <v>2745</v>
      </c>
      <c r="B95" s="12" t="s">
        <v>1195</v>
      </c>
      <c r="C95" s="12" t="s">
        <v>2384</v>
      </c>
      <c r="D95" s="12" t="s">
        <v>2385</v>
      </c>
      <c r="E95" s="12" t="n">
        <v>7</v>
      </c>
      <c r="F95" s="12" t="n">
        <v>6</v>
      </c>
      <c r="G95" s="15" t="n">
        <v>12200</v>
      </c>
      <c r="H95" s="15" t="n">
        <v>14000</v>
      </c>
      <c r="I95" s="12" t="s">
        <v>2746</v>
      </c>
      <c r="J95" s="17" t="n">
        <v>46364</v>
      </c>
      <c r="K95" s="12" t="s">
        <v>1120</v>
      </c>
      <c r="L95" s="12" t="n">
        <v>4</v>
      </c>
      <c r="M95" s="15" t="n">
        <f aca="false">E95*G95</f>
        <v>85400</v>
      </c>
      <c r="N95" s="15" t="n">
        <f aca="false">E95*H95</f>
        <v>98000</v>
      </c>
      <c r="O95" s="18" t="n">
        <f aca="false">IF(H95=0,"",(H95-G95)/H95)</f>
        <v>0.128571428571429</v>
      </c>
      <c r="P95" s="12" t="n">
        <f aca="false">IF(J95="","",J95-README!$C$4)</f>
        <v>42</v>
      </c>
      <c r="Q95" s="12" t="str">
        <f aca="false">IF(E95=0,"Out of stock",IF(E95&lt;=F95,"Low stock","OK"))</f>
        <v>OK</v>
      </c>
      <c r="R95" s="12" t="str">
        <f aca="false">IF(J95="","No expiry",IF(P95&lt;0,"Expired",IF(P95&lt;=30,"Expiring &lt;=30 days","OK")))</f>
        <v>OK</v>
      </c>
      <c r="S95" s="12"/>
    </row>
    <row r="96" customFormat="false" ht="15" hidden="false" customHeight="false" outlineLevel="0" collapsed="false">
      <c r="A96" s="12" t="s">
        <v>2747</v>
      </c>
      <c r="B96" s="12" t="s">
        <v>1195</v>
      </c>
      <c r="C96" s="12" t="s">
        <v>2393</v>
      </c>
      <c r="D96" s="12" t="s">
        <v>2394</v>
      </c>
      <c r="E96" s="12" t="n">
        <v>10</v>
      </c>
      <c r="F96" s="12" t="n">
        <v>6</v>
      </c>
      <c r="G96" s="15" t="n">
        <v>22100</v>
      </c>
      <c r="H96" s="15" t="n">
        <v>25000</v>
      </c>
      <c r="I96" s="12" t="s">
        <v>2748</v>
      </c>
      <c r="J96" s="17" t="n">
        <v>46388</v>
      </c>
      <c r="K96" s="12" t="s">
        <v>1120</v>
      </c>
      <c r="L96" s="12" t="n">
        <v>7</v>
      </c>
      <c r="M96" s="15" t="n">
        <f aca="false">E96*G96</f>
        <v>221000</v>
      </c>
      <c r="N96" s="15" t="n">
        <f aca="false">E96*H96</f>
        <v>250000</v>
      </c>
      <c r="O96" s="18" t="n">
        <f aca="false">IF(H96=0,"",(H96-G96)/H96)</f>
        <v>0.116</v>
      </c>
      <c r="P96" s="12" t="n">
        <f aca="false">IF(J96="","",J96-README!$C$4)</f>
        <v>66</v>
      </c>
      <c r="Q96" s="12" t="str">
        <f aca="false">IF(E96=0,"Out of stock",IF(E96&lt;=F96,"Low stock","OK"))</f>
        <v>OK</v>
      </c>
      <c r="R96" s="12" t="str">
        <f aca="false">IF(J96="","No expiry",IF(P96&lt;0,"Expired",IF(P96&lt;=30,"Expiring &lt;=30 days","OK")))</f>
        <v>OK</v>
      </c>
      <c r="S96" s="12"/>
    </row>
    <row r="97" customFormat="false" ht="15" hidden="false" customHeight="false" outlineLevel="0" collapsed="false">
      <c r="A97" s="12" t="s">
        <v>2749</v>
      </c>
      <c r="B97" s="12" t="s">
        <v>1195</v>
      </c>
      <c r="C97" s="12" t="s">
        <v>2396</v>
      </c>
      <c r="D97" s="12" t="s">
        <v>2397</v>
      </c>
      <c r="E97" s="12" t="n">
        <v>14</v>
      </c>
      <c r="F97" s="12" t="n">
        <v>6</v>
      </c>
      <c r="G97" s="15" t="n">
        <v>37100</v>
      </c>
      <c r="H97" s="15" t="n">
        <v>45000</v>
      </c>
      <c r="I97" s="12" t="s">
        <v>2750</v>
      </c>
      <c r="J97" s="17" t="n">
        <v>46520</v>
      </c>
      <c r="K97" s="12" t="s">
        <v>1120</v>
      </c>
      <c r="L97" s="12" t="n">
        <v>9</v>
      </c>
      <c r="M97" s="15" t="n">
        <f aca="false">E97*G97</f>
        <v>519400</v>
      </c>
      <c r="N97" s="15" t="n">
        <f aca="false">E97*H97</f>
        <v>630000</v>
      </c>
      <c r="O97" s="18" t="n">
        <f aca="false">IF(H97=0,"",(H97-G97)/H97)</f>
        <v>0.175555555555556</v>
      </c>
      <c r="P97" s="12" t="n">
        <f aca="false">IF(J97="","",J97-README!$C$4)</f>
        <v>198</v>
      </c>
      <c r="Q97" s="12" t="str">
        <f aca="false">IF(E97=0,"Out of stock",IF(E97&lt;=F97,"Low stock","OK"))</f>
        <v>OK</v>
      </c>
      <c r="R97" s="12" t="str">
        <f aca="false">IF(J97="","No expiry",IF(P97&lt;0,"Expired",IF(P97&lt;=30,"Expiring &lt;=30 days","OK")))</f>
        <v>OK</v>
      </c>
      <c r="S97" s="12"/>
    </row>
    <row r="98" customFormat="false" ht="15" hidden="false" customHeight="false" outlineLevel="0" collapsed="false">
      <c r="A98" s="12" t="s">
        <v>2751</v>
      </c>
      <c r="B98" s="12" t="s">
        <v>1195</v>
      </c>
      <c r="C98" s="12" t="s">
        <v>2399</v>
      </c>
      <c r="D98" s="12" t="s">
        <v>2400</v>
      </c>
      <c r="E98" s="12" t="n">
        <v>15</v>
      </c>
      <c r="F98" s="12" t="n">
        <v>6</v>
      </c>
      <c r="G98" s="15" t="n">
        <v>26900</v>
      </c>
      <c r="H98" s="15" t="n">
        <v>30000</v>
      </c>
      <c r="I98" s="12" t="s">
        <v>2752</v>
      </c>
      <c r="J98" s="17" t="n">
        <v>46454</v>
      </c>
      <c r="K98" s="12" t="s">
        <v>1120</v>
      </c>
      <c r="L98" s="12" t="n">
        <v>10</v>
      </c>
      <c r="M98" s="15" t="n">
        <f aca="false">E98*G98</f>
        <v>403500</v>
      </c>
      <c r="N98" s="15" t="n">
        <f aca="false">E98*H98</f>
        <v>450000</v>
      </c>
      <c r="O98" s="18" t="n">
        <f aca="false">IF(H98=0,"",(H98-G98)/H98)</f>
        <v>0.103333333333333</v>
      </c>
      <c r="P98" s="12" t="n">
        <f aca="false">IF(J98="","",J98-README!$C$4)</f>
        <v>132</v>
      </c>
      <c r="Q98" s="12" t="str">
        <f aca="false">IF(E98=0,"Out of stock",IF(E98&lt;=F98,"Low stock","OK"))</f>
        <v>OK</v>
      </c>
      <c r="R98" s="12" t="str">
        <f aca="false">IF(J98="","No expiry",IF(P98&lt;0,"Expired",IF(P98&lt;=30,"Expiring &lt;=30 days","OK")))</f>
        <v>OK</v>
      </c>
      <c r="S98" s="12"/>
    </row>
    <row r="99" customFormat="false" ht="15" hidden="false" customHeight="false" outlineLevel="0" collapsed="false">
      <c r="A99" s="12" t="s">
        <v>2753</v>
      </c>
      <c r="B99" s="12" t="s">
        <v>1195</v>
      </c>
      <c r="C99" s="12" t="s">
        <v>2402</v>
      </c>
      <c r="D99" s="12" t="s">
        <v>2404</v>
      </c>
      <c r="E99" s="12" t="n">
        <v>24</v>
      </c>
      <c r="F99" s="12" t="n">
        <v>6</v>
      </c>
      <c r="G99" s="15" t="n">
        <v>46900</v>
      </c>
      <c r="H99" s="15" t="n">
        <v>55000</v>
      </c>
      <c r="I99" s="12" t="s">
        <v>2754</v>
      </c>
      <c r="J99" s="17" t="n">
        <v>46675</v>
      </c>
      <c r="K99" s="12" t="s">
        <v>1120</v>
      </c>
      <c r="L99" s="12" t="n">
        <v>16</v>
      </c>
      <c r="M99" s="15" t="n">
        <f aca="false">E99*G99</f>
        <v>1125600</v>
      </c>
      <c r="N99" s="15" t="n">
        <f aca="false">E99*H99</f>
        <v>1320000</v>
      </c>
      <c r="O99" s="18" t="n">
        <f aca="false">IF(H99=0,"",(H99-G99)/H99)</f>
        <v>0.147272727272727</v>
      </c>
      <c r="P99" s="12" t="n">
        <f aca="false">IF(J99="","",J99-README!$C$4)</f>
        <v>353</v>
      </c>
      <c r="Q99" s="12" t="str">
        <f aca="false">IF(E99=0,"Out of stock",IF(E99&lt;=F99,"Low stock","OK"))</f>
        <v>OK</v>
      </c>
      <c r="R99" s="12" t="str">
        <f aca="false">IF(J99="","No expiry",IF(P99&lt;0,"Expired",IF(P99&lt;=30,"Expiring &lt;=30 days","OK")))</f>
        <v>OK</v>
      </c>
      <c r="S99" s="12"/>
    </row>
    <row r="100" customFormat="false" ht="15" hidden="false" customHeight="false" outlineLevel="0" collapsed="false">
      <c r="A100" s="12" t="s">
        <v>2755</v>
      </c>
      <c r="B100" s="12" t="s">
        <v>1195</v>
      </c>
      <c r="C100" s="12" t="s">
        <v>2406</v>
      </c>
      <c r="D100" s="12" t="s">
        <v>2407</v>
      </c>
      <c r="E100" s="12" t="n">
        <v>10</v>
      </c>
      <c r="F100" s="12" t="n">
        <v>6</v>
      </c>
      <c r="G100" s="15" t="n">
        <v>34600</v>
      </c>
      <c r="H100" s="15" t="n">
        <v>40000</v>
      </c>
      <c r="I100" s="12" t="s">
        <v>2756</v>
      </c>
      <c r="J100" s="17" t="n">
        <v>46551</v>
      </c>
      <c r="K100" s="12" t="s">
        <v>1120</v>
      </c>
      <c r="L100" s="12" t="n">
        <v>7</v>
      </c>
      <c r="M100" s="15" t="n">
        <f aca="false">E100*G100</f>
        <v>346000</v>
      </c>
      <c r="N100" s="15" t="n">
        <f aca="false">E100*H100</f>
        <v>400000</v>
      </c>
      <c r="O100" s="18" t="n">
        <f aca="false">IF(H100=0,"",(H100-G100)/H100)</f>
        <v>0.135</v>
      </c>
      <c r="P100" s="12" t="n">
        <f aca="false">IF(J100="","",J100-README!$C$4)</f>
        <v>229</v>
      </c>
      <c r="Q100" s="12" t="str">
        <f aca="false">IF(E100=0,"Out of stock",IF(E100&lt;=F100,"Low stock","OK"))</f>
        <v>OK</v>
      </c>
      <c r="R100" s="12" t="str">
        <f aca="false">IF(J100="","No expiry",IF(P100&lt;0,"Expired",IF(P100&lt;=30,"Expiring &lt;=30 days","OK")))</f>
        <v>OK</v>
      </c>
      <c r="S100" s="12"/>
    </row>
    <row r="101" customFormat="false" ht="15" hidden="false" customHeight="false" outlineLevel="0" collapsed="false">
      <c r="A101" s="12" t="s">
        <v>2757</v>
      </c>
      <c r="B101" s="12" t="s">
        <v>1195</v>
      </c>
      <c r="C101" s="12" t="s">
        <v>2409</v>
      </c>
      <c r="D101" s="12" t="s">
        <v>2410</v>
      </c>
      <c r="E101" s="12" t="n">
        <v>29</v>
      </c>
      <c r="F101" s="12" t="n">
        <v>6</v>
      </c>
      <c r="G101" s="15" t="n">
        <v>24800</v>
      </c>
      <c r="H101" s="15" t="n">
        <v>30000</v>
      </c>
      <c r="I101" s="12" t="s">
        <v>2758</v>
      </c>
      <c r="J101" s="17" t="n">
        <v>46491</v>
      </c>
      <c r="K101" s="12" t="s">
        <v>1120</v>
      </c>
      <c r="L101" s="12" t="n">
        <v>20</v>
      </c>
      <c r="M101" s="15" t="n">
        <f aca="false">E101*G101</f>
        <v>719200</v>
      </c>
      <c r="N101" s="15" t="n">
        <f aca="false">E101*H101</f>
        <v>870000</v>
      </c>
      <c r="O101" s="18" t="n">
        <f aca="false">IF(H101=0,"",(H101-G101)/H101)</f>
        <v>0.173333333333333</v>
      </c>
      <c r="P101" s="12" t="n">
        <f aca="false">IF(J101="","",J101-README!$C$4)</f>
        <v>169</v>
      </c>
      <c r="Q101" s="12" t="str">
        <f aca="false">IF(E101=0,"Out of stock",IF(E101&lt;=F101,"Low stock","OK"))</f>
        <v>OK</v>
      </c>
      <c r="R101" s="12" t="str">
        <f aca="false">IF(J101="","No expiry",IF(P101&lt;0,"Expired",IF(P101&lt;=30,"Expiring &lt;=30 days","OK")))</f>
        <v>OK</v>
      </c>
      <c r="S101" s="12"/>
    </row>
    <row r="102" customFormat="false" ht="15" hidden="false" customHeight="false" outlineLevel="0" collapsed="false">
      <c r="A102" s="12" t="s">
        <v>2759</v>
      </c>
      <c r="B102" s="12" t="s">
        <v>1195</v>
      </c>
      <c r="C102" s="12" t="s">
        <v>2412</v>
      </c>
      <c r="D102" s="12" t="s">
        <v>2413</v>
      </c>
      <c r="E102" s="12" t="n">
        <v>24</v>
      </c>
      <c r="F102" s="12" t="n">
        <v>8</v>
      </c>
      <c r="G102" s="15" t="n">
        <v>15800</v>
      </c>
      <c r="H102" s="15" t="n">
        <v>18000</v>
      </c>
      <c r="I102" s="12" t="s">
        <v>2760</v>
      </c>
      <c r="J102" s="17" t="n">
        <v>46690</v>
      </c>
      <c r="K102" s="12" t="s">
        <v>1120</v>
      </c>
      <c r="L102" s="12" t="n">
        <v>16</v>
      </c>
      <c r="M102" s="15" t="n">
        <f aca="false">E102*G102</f>
        <v>379200</v>
      </c>
      <c r="N102" s="15" t="n">
        <f aca="false">E102*H102</f>
        <v>432000</v>
      </c>
      <c r="O102" s="18" t="n">
        <f aca="false">IF(H102=0,"",(H102-G102)/H102)</f>
        <v>0.122222222222222</v>
      </c>
      <c r="P102" s="12" t="n">
        <f aca="false">IF(J102="","",J102-README!$C$4)</f>
        <v>368</v>
      </c>
      <c r="Q102" s="12" t="str">
        <f aca="false">IF(E102=0,"Out of stock",IF(E102&lt;=F102,"Low stock","OK"))</f>
        <v>OK</v>
      </c>
      <c r="R102" s="12" t="str">
        <f aca="false">IF(J102="","No expiry",IF(P102&lt;0,"Expired",IF(P102&lt;=30,"Expiring &lt;=30 days","OK")))</f>
        <v>OK</v>
      </c>
      <c r="S102" s="12"/>
    </row>
    <row r="103" customFormat="false" ht="15" hidden="false" customHeight="false" outlineLevel="0" collapsed="false">
      <c r="A103" s="12" t="s">
        <v>2761</v>
      </c>
      <c r="B103" s="12" t="s">
        <v>1195</v>
      </c>
      <c r="C103" s="12" t="s">
        <v>2415</v>
      </c>
      <c r="D103" s="12" t="s">
        <v>2417</v>
      </c>
      <c r="E103" s="12" t="n">
        <v>13</v>
      </c>
      <c r="F103" s="12" t="n">
        <v>3</v>
      </c>
      <c r="G103" s="15" t="n">
        <v>66300</v>
      </c>
      <c r="H103" s="15" t="n">
        <v>80000</v>
      </c>
      <c r="I103" s="12" t="s">
        <v>2762</v>
      </c>
      <c r="J103" s="17" t="n">
        <v>47038</v>
      </c>
      <c r="K103" s="12" t="s">
        <v>1120</v>
      </c>
      <c r="L103" s="12" t="n">
        <v>9</v>
      </c>
      <c r="M103" s="15" t="n">
        <f aca="false">E103*G103</f>
        <v>861900</v>
      </c>
      <c r="N103" s="15" t="n">
        <f aca="false">E103*H103</f>
        <v>1040000</v>
      </c>
      <c r="O103" s="18" t="n">
        <f aca="false">IF(H103=0,"",(H103-G103)/H103)</f>
        <v>0.17125</v>
      </c>
      <c r="P103" s="12" t="n">
        <f aca="false">IF(J103="","",J103-README!$C$4)</f>
        <v>716</v>
      </c>
      <c r="Q103" s="12" t="str">
        <f aca="false">IF(E103=0,"Out of stock",IF(E103&lt;=F103,"Low stock","OK"))</f>
        <v>OK</v>
      </c>
      <c r="R103" s="12" t="str">
        <f aca="false">IF(J103="","No expiry",IF(P103&lt;0,"Expired",IF(P103&lt;=30,"Expiring &lt;=30 days","OK")))</f>
        <v>OK</v>
      </c>
      <c r="S103" s="12"/>
    </row>
    <row r="104" customFormat="false" ht="15" hidden="false" customHeight="false" outlineLevel="0" collapsed="false">
      <c r="A104" s="12" t="s">
        <v>2763</v>
      </c>
      <c r="B104" s="12" t="s">
        <v>1195</v>
      </c>
      <c r="C104" s="12" t="s">
        <v>2419</v>
      </c>
      <c r="D104" s="12" t="s">
        <v>2420</v>
      </c>
      <c r="E104" s="12" t="n">
        <v>45</v>
      </c>
      <c r="F104" s="12" t="n">
        <v>8</v>
      </c>
      <c r="G104" s="15" t="n">
        <v>21200</v>
      </c>
      <c r="H104" s="15" t="n">
        <v>25000</v>
      </c>
      <c r="I104" s="12" t="s">
        <v>2764</v>
      </c>
      <c r="J104" s="17" t="n">
        <v>46690</v>
      </c>
      <c r="K104" s="12" t="s">
        <v>1120</v>
      </c>
      <c r="L104" s="12" t="n">
        <v>31</v>
      </c>
      <c r="M104" s="15" t="n">
        <f aca="false">E104*G104</f>
        <v>954000</v>
      </c>
      <c r="N104" s="15" t="n">
        <f aca="false">E104*H104</f>
        <v>1125000</v>
      </c>
      <c r="O104" s="18" t="n">
        <f aca="false">IF(H104=0,"",(H104-G104)/H104)</f>
        <v>0.152</v>
      </c>
      <c r="P104" s="12" t="n">
        <f aca="false">IF(J104="","",J104-README!$C$4)</f>
        <v>368</v>
      </c>
      <c r="Q104" s="12" t="str">
        <f aca="false">IF(E104=0,"Out of stock",IF(E104&lt;=F104,"Low stock","OK"))</f>
        <v>OK</v>
      </c>
      <c r="R104" s="12" t="str">
        <f aca="false">IF(J104="","No expiry",IF(P104&lt;0,"Expired",IF(P104&lt;=30,"Expiring &lt;=30 days","OK")))</f>
        <v>OK</v>
      </c>
      <c r="S104" s="12"/>
    </row>
    <row r="105" customFormat="false" ht="15" hidden="false" customHeight="false" outlineLevel="0" collapsed="false">
      <c r="A105" s="12" t="s">
        <v>2765</v>
      </c>
      <c r="B105" s="12" t="s">
        <v>1195</v>
      </c>
      <c r="C105" s="12" t="s">
        <v>2422</v>
      </c>
      <c r="D105" s="12" t="s">
        <v>2424</v>
      </c>
      <c r="E105" s="12" t="n">
        <v>10</v>
      </c>
      <c r="F105" s="12" t="n">
        <v>2</v>
      </c>
      <c r="G105" s="15" t="n">
        <v>13500</v>
      </c>
      <c r="H105" s="15" t="n">
        <v>15000</v>
      </c>
      <c r="I105" s="12" t="s">
        <v>2766</v>
      </c>
      <c r="J105" s="17" t="n">
        <v>46624</v>
      </c>
      <c r="K105" s="12" t="s">
        <v>1120</v>
      </c>
      <c r="L105" s="12" t="n">
        <v>7</v>
      </c>
      <c r="M105" s="15" t="n">
        <f aca="false">E105*G105</f>
        <v>135000</v>
      </c>
      <c r="N105" s="15" t="n">
        <f aca="false">E105*H105</f>
        <v>150000</v>
      </c>
      <c r="O105" s="18" t="n">
        <f aca="false">IF(H105=0,"",(H105-G105)/H105)</f>
        <v>0.1</v>
      </c>
      <c r="P105" s="12" t="n">
        <f aca="false">IF(J105="","",J105-README!$C$4)</f>
        <v>302</v>
      </c>
      <c r="Q105" s="12" t="str">
        <f aca="false">IF(E105=0,"Out of stock",IF(E105&lt;=F105,"Low stock","OK"))</f>
        <v>OK</v>
      </c>
      <c r="R105" s="12" t="str">
        <f aca="false">IF(J105="","No expiry",IF(P105&lt;0,"Expired",IF(P105&lt;=30,"Expiring &lt;=30 days","OK")))</f>
        <v>OK</v>
      </c>
      <c r="S105" s="12"/>
    </row>
    <row r="106" customFormat="false" ht="15" hidden="false" customHeight="false" outlineLevel="0" collapsed="false">
      <c r="A106" s="12" t="s">
        <v>2767</v>
      </c>
      <c r="B106" s="12" t="s">
        <v>1195</v>
      </c>
      <c r="C106" s="12" t="s">
        <v>2426</v>
      </c>
      <c r="D106" s="12" t="s">
        <v>2427</v>
      </c>
      <c r="E106" s="12" t="n">
        <v>43</v>
      </c>
      <c r="F106" s="12" t="n">
        <v>8</v>
      </c>
      <c r="G106" s="15" t="n">
        <v>6700</v>
      </c>
      <c r="H106" s="15" t="n">
        <v>8000</v>
      </c>
      <c r="I106" s="12" t="s">
        <v>2768</v>
      </c>
      <c r="J106" s="17" t="n">
        <v>46854</v>
      </c>
      <c r="K106" s="12" t="s">
        <v>1120</v>
      </c>
      <c r="L106" s="12" t="n">
        <v>30</v>
      </c>
      <c r="M106" s="15" t="n">
        <f aca="false">E106*G106</f>
        <v>288100</v>
      </c>
      <c r="N106" s="15" t="n">
        <f aca="false">E106*H106</f>
        <v>344000</v>
      </c>
      <c r="O106" s="18" t="n">
        <f aca="false">IF(H106=0,"",(H106-G106)/H106)</f>
        <v>0.1625</v>
      </c>
      <c r="P106" s="12" t="n">
        <f aca="false">IF(J106="","",J106-README!$C$4)</f>
        <v>532</v>
      </c>
      <c r="Q106" s="12" t="str">
        <f aca="false">IF(E106=0,"Out of stock",IF(E106&lt;=F106,"Low stock","OK"))</f>
        <v>OK</v>
      </c>
      <c r="R106" s="12" t="str">
        <f aca="false">IF(J106="","No expiry",IF(P106&lt;0,"Expired",IF(P106&lt;=30,"Expiring &lt;=30 days","OK")))</f>
        <v>OK</v>
      </c>
      <c r="S106" s="12"/>
    </row>
    <row r="107" customFormat="false" ht="15" hidden="false" customHeight="false" outlineLevel="0" collapsed="false">
      <c r="A107" s="12" t="s">
        <v>2769</v>
      </c>
      <c r="B107" s="12" t="s">
        <v>1195</v>
      </c>
      <c r="C107" s="12" t="s">
        <v>2429</v>
      </c>
      <c r="D107" s="12" t="s">
        <v>2431</v>
      </c>
      <c r="E107" s="12" t="n">
        <v>15</v>
      </c>
      <c r="F107" s="12" t="n">
        <v>4</v>
      </c>
      <c r="G107" s="15" t="n">
        <v>4300</v>
      </c>
      <c r="H107" s="15" t="n">
        <v>5000</v>
      </c>
      <c r="I107" s="12"/>
      <c r="J107" s="17"/>
      <c r="K107" s="12" t="s">
        <v>1120</v>
      </c>
      <c r="L107" s="12" t="n">
        <v>10</v>
      </c>
      <c r="M107" s="15" t="n">
        <f aca="false">E107*G107</f>
        <v>64500</v>
      </c>
      <c r="N107" s="15" t="n">
        <f aca="false">E107*H107</f>
        <v>75000</v>
      </c>
      <c r="O107" s="18" t="n">
        <f aca="false">IF(H107=0,"",(H107-G107)/H107)</f>
        <v>0.14</v>
      </c>
      <c r="P107" s="12" t="str">
        <f aca="false">IF(J107="","",J107-README!$C$4)</f>
        <v/>
      </c>
      <c r="Q107" s="12" t="str">
        <f aca="false">IF(E107=0,"Out of stock",IF(E107&lt;=F107,"Low stock","OK"))</f>
        <v>OK</v>
      </c>
      <c r="R107" s="12" t="str">
        <f aca="false">IF(J107="","No expiry",IF(P107&lt;0,"Expired",IF(P107&lt;=30,"Expiring &lt;=30 days","OK")))</f>
        <v>No expiry</v>
      </c>
      <c r="S107" s="12"/>
    </row>
    <row r="108" customFormat="false" ht="15" hidden="false" customHeight="false" outlineLevel="0" collapsed="false">
      <c r="A108" s="12" t="s">
        <v>2770</v>
      </c>
      <c r="B108" s="12" t="s">
        <v>1195</v>
      </c>
      <c r="C108" s="12" t="s">
        <v>2433</v>
      </c>
      <c r="D108" s="12" t="s">
        <v>2435</v>
      </c>
      <c r="E108" s="12" t="n">
        <v>11</v>
      </c>
      <c r="F108" s="12" t="n">
        <v>4</v>
      </c>
      <c r="G108" s="15" t="n">
        <v>7600</v>
      </c>
      <c r="H108" s="15" t="n">
        <v>9000</v>
      </c>
      <c r="I108" s="12"/>
      <c r="J108" s="17"/>
      <c r="K108" s="12" t="s">
        <v>1120</v>
      </c>
      <c r="L108" s="12" t="n">
        <v>7</v>
      </c>
      <c r="M108" s="15" t="n">
        <f aca="false">E108*G108</f>
        <v>83600</v>
      </c>
      <c r="N108" s="15" t="n">
        <f aca="false">E108*H108</f>
        <v>99000</v>
      </c>
      <c r="O108" s="18" t="n">
        <f aca="false">IF(H108=0,"",(H108-G108)/H108)</f>
        <v>0.155555555555556</v>
      </c>
      <c r="P108" s="12" t="str">
        <f aca="false">IF(J108="","",J108-README!$C$4)</f>
        <v/>
      </c>
      <c r="Q108" s="12" t="str">
        <f aca="false">IF(E108=0,"Out of stock",IF(E108&lt;=F108,"Low stock","OK"))</f>
        <v>OK</v>
      </c>
      <c r="R108" s="12" t="str">
        <f aca="false">IF(J108="","No expiry",IF(P108&lt;0,"Expired",IF(P108&lt;=30,"Expiring &lt;=30 days","OK")))</f>
        <v>No expiry</v>
      </c>
      <c r="S108" s="12"/>
    </row>
    <row r="109" customFormat="false" ht="15" hidden="false" customHeight="false" outlineLevel="0" collapsed="false">
      <c r="A109" s="12" t="s">
        <v>2771</v>
      </c>
      <c r="B109" s="12" t="s">
        <v>1195</v>
      </c>
      <c r="C109" s="12" t="s">
        <v>2437</v>
      </c>
      <c r="D109" s="12" t="s">
        <v>2439</v>
      </c>
      <c r="E109" s="12" t="n">
        <v>23</v>
      </c>
      <c r="F109" s="12" t="n">
        <v>4</v>
      </c>
      <c r="G109" s="15" t="n">
        <v>10400</v>
      </c>
      <c r="H109" s="15" t="n">
        <v>12000</v>
      </c>
      <c r="I109" s="12"/>
      <c r="J109" s="17"/>
      <c r="K109" s="12" t="s">
        <v>1120</v>
      </c>
      <c r="L109" s="12" t="n">
        <v>16</v>
      </c>
      <c r="M109" s="15" t="n">
        <f aca="false">E109*G109</f>
        <v>239200</v>
      </c>
      <c r="N109" s="15" t="n">
        <f aca="false">E109*H109</f>
        <v>276000</v>
      </c>
      <c r="O109" s="18" t="n">
        <f aca="false">IF(H109=0,"",(H109-G109)/H109)</f>
        <v>0.133333333333333</v>
      </c>
      <c r="P109" s="12" t="str">
        <f aca="false">IF(J109="","",J109-README!$C$4)</f>
        <v/>
      </c>
      <c r="Q109" s="12" t="str">
        <f aca="false">IF(E109=0,"Out of stock",IF(E109&lt;=F109,"Low stock","OK"))</f>
        <v>OK</v>
      </c>
      <c r="R109" s="12" t="str">
        <f aca="false">IF(J109="","No expiry",IF(P109&lt;0,"Expired",IF(P109&lt;=30,"Expiring &lt;=30 days","OK")))</f>
        <v>No expiry</v>
      </c>
      <c r="S109" s="12"/>
    </row>
    <row r="110" customFormat="false" ht="15" hidden="false" customHeight="false" outlineLevel="0" collapsed="false">
      <c r="A110" s="12" t="s">
        <v>2772</v>
      </c>
      <c r="B110" s="12" t="s">
        <v>1195</v>
      </c>
      <c r="C110" s="12" t="s">
        <v>2441</v>
      </c>
      <c r="D110" s="12" t="s">
        <v>1882</v>
      </c>
      <c r="E110" s="12" t="n">
        <v>9</v>
      </c>
      <c r="F110" s="12" t="n">
        <v>4</v>
      </c>
      <c r="G110" s="15" t="n">
        <v>2400</v>
      </c>
      <c r="H110" s="15" t="n">
        <v>3000</v>
      </c>
      <c r="I110" s="12"/>
      <c r="J110" s="17"/>
      <c r="K110" s="12" t="s">
        <v>1120</v>
      </c>
      <c r="L110" s="12" t="n">
        <v>6</v>
      </c>
      <c r="M110" s="15" t="n">
        <f aca="false">E110*G110</f>
        <v>21600</v>
      </c>
      <c r="N110" s="15" t="n">
        <f aca="false">E110*H110</f>
        <v>27000</v>
      </c>
      <c r="O110" s="18" t="n">
        <f aca="false">IF(H110=0,"",(H110-G110)/H110)</f>
        <v>0.2</v>
      </c>
      <c r="P110" s="12" t="str">
        <f aca="false">IF(J110="","",J110-README!$C$4)</f>
        <v/>
      </c>
      <c r="Q110" s="12" t="str">
        <f aca="false">IF(E110=0,"Out of stock",IF(E110&lt;=F110,"Low stock","OK"))</f>
        <v>OK</v>
      </c>
      <c r="R110" s="12" t="str">
        <f aca="false">IF(J110="","No expiry",IF(P110&lt;0,"Expired",IF(P110&lt;=30,"Expiring &lt;=30 days","OK")))</f>
        <v>No expiry</v>
      </c>
      <c r="S110" s="12"/>
    </row>
    <row r="111" customFormat="false" ht="15" hidden="false" customHeight="false" outlineLevel="0" collapsed="false">
      <c r="A111" s="12" t="s">
        <v>2773</v>
      </c>
      <c r="B111" s="12" t="s">
        <v>1195</v>
      </c>
      <c r="C111" s="12" t="s">
        <v>2444</v>
      </c>
      <c r="D111" s="12" t="s">
        <v>1887</v>
      </c>
      <c r="E111" s="12" t="n">
        <v>4</v>
      </c>
      <c r="F111" s="12" t="n">
        <v>1</v>
      </c>
      <c r="G111" s="15" t="n">
        <v>28800</v>
      </c>
      <c r="H111" s="15" t="n">
        <v>35000</v>
      </c>
      <c r="I111" s="12"/>
      <c r="J111" s="17"/>
      <c r="K111" s="12" t="s">
        <v>1120</v>
      </c>
      <c r="L111" s="12" t="n">
        <v>2</v>
      </c>
      <c r="M111" s="15" t="n">
        <f aca="false">E111*G111</f>
        <v>115200</v>
      </c>
      <c r="N111" s="15" t="n">
        <f aca="false">E111*H111</f>
        <v>140000</v>
      </c>
      <c r="O111" s="18" t="n">
        <f aca="false">IF(H111=0,"",(H111-G111)/H111)</f>
        <v>0.177142857142857</v>
      </c>
      <c r="P111" s="12" t="str">
        <f aca="false">IF(J111="","",J111-README!$C$4)</f>
        <v/>
      </c>
      <c r="Q111" s="12" t="str">
        <f aca="false">IF(E111=0,"Out of stock",IF(E111&lt;=F111,"Low stock","OK"))</f>
        <v>OK</v>
      </c>
      <c r="R111" s="12" t="str">
        <f aca="false">IF(J111="","No expiry",IF(P111&lt;0,"Expired",IF(P111&lt;=30,"Expiring &lt;=30 days","OK")))</f>
        <v>No expiry</v>
      </c>
      <c r="S111" s="12"/>
    </row>
    <row r="112" customFormat="false" ht="15" hidden="false" customHeight="false" outlineLevel="0" collapsed="false">
      <c r="A112" s="12" t="s">
        <v>2774</v>
      </c>
      <c r="B112" s="12" t="s">
        <v>1195</v>
      </c>
      <c r="C112" s="12" t="s">
        <v>2447</v>
      </c>
      <c r="D112" s="12" t="s">
        <v>1892</v>
      </c>
      <c r="E112" s="12" t="n">
        <v>12</v>
      </c>
      <c r="F112" s="12" t="n">
        <v>4</v>
      </c>
      <c r="G112" s="15" t="n">
        <v>20300</v>
      </c>
      <c r="H112" s="15" t="n">
        <v>25000</v>
      </c>
      <c r="I112" s="12"/>
      <c r="J112" s="17"/>
      <c r="K112" s="12" t="s">
        <v>1120</v>
      </c>
      <c r="L112" s="12" t="n">
        <v>8</v>
      </c>
      <c r="M112" s="15" t="n">
        <f aca="false">E112*G112</f>
        <v>243600</v>
      </c>
      <c r="N112" s="15" t="n">
        <f aca="false">E112*H112</f>
        <v>300000</v>
      </c>
      <c r="O112" s="18" t="n">
        <f aca="false">IF(H112=0,"",(H112-G112)/H112)</f>
        <v>0.188</v>
      </c>
      <c r="P112" s="12" t="str">
        <f aca="false">IF(J112="","",J112-README!$C$4)</f>
        <v/>
      </c>
      <c r="Q112" s="12" t="str">
        <f aca="false">IF(E112=0,"Out of stock",IF(E112&lt;=F112,"Low stock","OK"))</f>
        <v>OK</v>
      </c>
      <c r="R112" s="12" t="str">
        <f aca="false">IF(J112="","No expiry",IF(P112&lt;0,"Expired",IF(P112&lt;=30,"Expiring &lt;=30 days","OK")))</f>
        <v>No expiry</v>
      </c>
      <c r="S112" s="12"/>
    </row>
    <row r="113" customFormat="false" ht="15" hidden="false" customHeight="false" outlineLevel="0" collapsed="false">
      <c r="A113" s="12" t="s">
        <v>2775</v>
      </c>
      <c r="B113" s="12" t="s">
        <v>1195</v>
      </c>
      <c r="C113" s="12" t="s">
        <v>2449</v>
      </c>
      <c r="D113" s="12" t="s">
        <v>1897</v>
      </c>
      <c r="E113" s="12" t="n">
        <v>21</v>
      </c>
      <c r="F113" s="12" t="n">
        <v>4</v>
      </c>
      <c r="G113" s="15" t="n">
        <v>15700</v>
      </c>
      <c r="H113" s="15" t="n">
        <v>18000</v>
      </c>
      <c r="I113" s="12"/>
      <c r="J113" s="17"/>
      <c r="K113" s="12" t="s">
        <v>1120</v>
      </c>
      <c r="L113" s="12" t="n">
        <v>14</v>
      </c>
      <c r="M113" s="15" t="n">
        <f aca="false">E113*G113</f>
        <v>329700</v>
      </c>
      <c r="N113" s="15" t="n">
        <f aca="false">E113*H113</f>
        <v>378000</v>
      </c>
      <c r="O113" s="18" t="n">
        <f aca="false">IF(H113=0,"",(H113-G113)/H113)</f>
        <v>0.127777777777778</v>
      </c>
      <c r="P113" s="12" t="str">
        <f aca="false">IF(J113="","",J113-README!$C$4)</f>
        <v/>
      </c>
      <c r="Q113" s="12" t="str">
        <f aca="false">IF(E113=0,"Out of stock",IF(E113&lt;=F113,"Low stock","OK"))</f>
        <v>OK</v>
      </c>
      <c r="R113" s="12" t="str">
        <f aca="false">IF(J113="","No expiry",IF(P113&lt;0,"Expired",IF(P113&lt;=30,"Expiring &lt;=30 days","OK")))</f>
        <v>No expiry</v>
      </c>
      <c r="S113" s="12"/>
    </row>
    <row r="114" customFormat="false" ht="15" hidden="false" customHeight="false" outlineLevel="0" collapsed="false">
      <c r="A114" s="12" t="s">
        <v>2776</v>
      </c>
      <c r="B114" s="12" t="s">
        <v>1195</v>
      </c>
      <c r="C114" s="12" t="s">
        <v>2451</v>
      </c>
      <c r="D114" s="12" t="s">
        <v>1903</v>
      </c>
      <c r="E114" s="12" t="n">
        <v>17</v>
      </c>
      <c r="F114" s="12" t="n">
        <v>4</v>
      </c>
      <c r="G114" s="15" t="n">
        <v>31300</v>
      </c>
      <c r="H114" s="15" t="n">
        <v>35000</v>
      </c>
      <c r="I114" s="12"/>
      <c r="J114" s="17"/>
      <c r="K114" s="12" t="s">
        <v>1120</v>
      </c>
      <c r="L114" s="12" t="n">
        <v>11</v>
      </c>
      <c r="M114" s="15" t="n">
        <f aca="false">E114*G114</f>
        <v>532100</v>
      </c>
      <c r="N114" s="15" t="n">
        <f aca="false">E114*H114</f>
        <v>595000</v>
      </c>
      <c r="O114" s="18" t="n">
        <f aca="false">IF(H114=0,"",(H114-G114)/H114)</f>
        <v>0.105714285714286</v>
      </c>
      <c r="P114" s="12" t="str">
        <f aca="false">IF(J114="","",J114-README!$C$4)</f>
        <v/>
      </c>
      <c r="Q114" s="12" t="str">
        <f aca="false">IF(E114=0,"Out of stock",IF(E114&lt;=F114,"Low stock","OK"))</f>
        <v>OK</v>
      </c>
      <c r="R114" s="12" t="str">
        <f aca="false">IF(J114="","No expiry",IF(P114&lt;0,"Expired",IF(P114&lt;=30,"Expiring &lt;=30 days","OK")))</f>
        <v>No expiry</v>
      </c>
      <c r="S114" s="12"/>
    </row>
    <row r="115" customFormat="false" ht="15" hidden="false" customHeight="false" outlineLevel="0" collapsed="false">
      <c r="A115" s="12" t="s">
        <v>2777</v>
      </c>
      <c r="B115" s="12" t="s">
        <v>1195</v>
      </c>
      <c r="C115" s="12" t="s">
        <v>2453</v>
      </c>
      <c r="D115" s="12" t="s">
        <v>1908</v>
      </c>
      <c r="E115" s="12" t="n">
        <v>4</v>
      </c>
      <c r="F115" s="12" t="n">
        <v>1</v>
      </c>
      <c r="G115" s="15" t="n">
        <v>551300</v>
      </c>
      <c r="H115" s="15" t="n">
        <v>650000</v>
      </c>
      <c r="I115" s="12"/>
      <c r="J115" s="17"/>
      <c r="K115" s="12" t="s">
        <v>1120</v>
      </c>
      <c r="L115" s="12" t="n">
        <v>2</v>
      </c>
      <c r="M115" s="15" t="n">
        <f aca="false">E115*G115</f>
        <v>2205200</v>
      </c>
      <c r="N115" s="15" t="n">
        <f aca="false">E115*H115</f>
        <v>2600000</v>
      </c>
      <c r="O115" s="18" t="n">
        <f aca="false">IF(H115=0,"",(H115-G115)/H115)</f>
        <v>0.151846153846154</v>
      </c>
      <c r="P115" s="12" t="str">
        <f aca="false">IF(J115="","",J115-README!$C$4)</f>
        <v/>
      </c>
      <c r="Q115" s="12" t="str">
        <f aca="false">IF(E115=0,"Out of stock",IF(E115&lt;=F115,"Low stock","OK"))</f>
        <v>OK</v>
      </c>
      <c r="R115" s="12" t="str">
        <f aca="false">IF(J115="","No expiry",IF(P115&lt;0,"Expired",IF(P115&lt;=30,"Expiring &lt;=30 days","OK")))</f>
        <v>No expiry</v>
      </c>
      <c r="S115" s="12"/>
    </row>
    <row r="116" customFormat="false" ht="15" hidden="false" customHeight="false" outlineLevel="0" collapsed="false">
      <c r="A116" s="12" t="s">
        <v>2778</v>
      </c>
      <c r="B116" s="12" t="s">
        <v>1195</v>
      </c>
      <c r="C116" s="12" t="s">
        <v>2455</v>
      </c>
      <c r="D116" s="12" t="s">
        <v>1914</v>
      </c>
      <c r="E116" s="12" t="n">
        <v>20</v>
      </c>
      <c r="F116" s="12" t="n">
        <v>4</v>
      </c>
      <c r="G116" s="15" t="n">
        <v>161100</v>
      </c>
      <c r="H116" s="15" t="n">
        <v>180000</v>
      </c>
      <c r="I116" s="12"/>
      <c r="J116" s="17"/>
      <c r="K116" s="12" t="s">
        <v>1111</v>
      </c>
      <c r="L116" s="12" t="n">
        <v>0</v>
      </c>
      <c r="M116" s="15" t="n">
        <f aca="false">E116*G116</f>
        <v>3222000</v>
      </c>
      <c r="N116" s="15" t="n">
        <f aca="false">E116*H116</f>
        <v>3600000</v>
      </c>
      <c r="O116" s="18" t="n">
        <f aca="false">IF(H116=0,"",(H116-G116)/H116)</f>
        <v>0.105</v>
      </c>
      <c r="P116" s="12" t="str">
        <f aca="false">IF(J116="","",J116-README!$C$4)</f>
        <v/>
      </c>
      <c r="Q116" s="12" t="str">
        <f aca="false">IF(E116=0,"Out of stock",IF(E116&lt;=F116,"Low stock","OK"))</f>
        <v>OK</v>
      </c>
      <c r="R116" s="12" t="str">
        <f aca="false">IF(J116="","No expiry",IF(P116&lt;0,"Expired",IF(P116&lt;=30,"Expiring &lt;=30 days","OK")))</f>
        <v>No expiry</v>
      </c>
      <c r="S116" s="12"/>
    </row>
    <row r="117" customFormat="false" ht="15" hidden="false" customHeight="false" outlineLevel="0" collapsed="false">
      <c r="A117" s="12" t="s">
        <v>2779</v>
      </c>
      <c r="B117" s="12" t="s">
        <v>1195</v>
      </c>
      <c r="C117" s="12" t="s">
        <v>2457</v>
      </c>
      <c r="D117" s="12" t="s">
        <v>1919</v>
      </c>
      <c r="E117" s="12" t="n">
        <v>4</v>
      </c>
      <c r="F117" s="12" t="n">
        <v>1</v>
      </c>
      <c r="G117" s="15" t="n">
        <v>329900</v>
      </c>
      <c r="H117" s="15" t="n">
        <v>380000</v>
      </c>
      <c r="I117" s="12"/>
      <c r="J117" s="17"/>
      <c r="K117" s="12" t="s">
        <v>1120</v>
      </c>
      <c r="L117" s="12" t="n">
        <v>2</v>
      </c>
      <c r="M117" s="15" t="n">
        <f aca="false">E117*G117</f>
        <v>1319600</v>
      </c>
      <c r="N117" s="15" t="n">
        <f aca="false">E117*H117</f>
        <v>1520000</v>
      </c>
      <c r="O117" s="18" t="n">
        <f aca="false">IF(H117=0,"",(H117-G117)/H117)</f>
        <v>0.131842105263158</v>
      </c>
      <c r="P117" s="12" t="str">
        <f aca="false">IF(J117="","",J117-README!$C$4)</f>
        <v/>
      </c>
      <c r="Q117" s="12" t="str">
        <f aca="false">IF(E117=0,"Out of stock",IF(E117&lt;=F117,"Low stock","OK"))</f>
        <v>OK</v>
      </c>
      <c r="R117" s="12" t="str">
        <f aca="false">IF(J117="","No expiry",IF(P117&lt;0,"Expired",IF(P117&lt;=30,"Expiring &lt;=30 days","OK")))</f>
        <v>No expiry</v>
      </c>
      <c r="S117" s="12"/>
    </row>
    <row r="118" customFormat="false" ht="15" hidden="false" customHeight="false" outlineLevel="0" collapsed="false">
      <c r="A118" s="12" t="s">
        <v>2780</v>
      </c>
      <c r="B118" s="12" t="s">
        <v>1195</v>
      </c>
      <c r="C118" s="12" t="s">
        <v>2459</v>
      </c>
      <c r="D118" s="12" t="s">
        <v>1925</v>
      </c>
      <c r="E118" s="12" t="n">
        <v>7</v>
      </c>
      <c r="F118" s="12" t="n">
        <v>1</v>
      </c>
      <c r="G118" s="15" t="n">
        <v>1716200</v>
      </c>
      <c r="H118" s="15" t="n">
        <v>1950000</v>
      </c>
      <c r="I118" s="12"/>
      <c r="J118" s="17"/>
      <c r="K118" s="12" t="s">
        <v>1120</v>
      </c>
      <c r="L118" s="12" t="n">
        <v>4</v>
      </c>
      <c r="M118" s="15" t="n">
        <f aca="false">E118*G118</f>
        <v>12013400</v>
      </c>
      <c r="N118" s="15" t="n">
        <f aca="false">E118*H118</f>
        <v>13650000</v>
      </c>
      <c r="O118" s="18" t="n">
        <f aca="false">IF(H118=0,"",(H118-G118)/H118)</f>
        <v>0.119897435897436</v>
      </c>
      <c r="P118" s="12" t="str">
        <f aca="false">IF(J118="","",J118-README!$C$4)</f>
        <v/>
      </c>
      <c r="Q118" s="12" t="str">
        <f aca="false">IF(E118=0,"Out of stock",IF(E118&lt;=F118,"Low stock","OK"))</f>
        <v>OK</v>
      </c>
      <c r="R118" s="12" t="str">
        <f aca="false">IF(J118="","No expiry",IF(P118&lt;0,"Expired",IF(P118&lt;=30,"Expiring &lt;=30 days","OK")))</f>
        <v>No expiry</v>
      </c>
      <c r="S118" s="12"/>
    </row>
    <row r="119" customFormat="false" ht="15" hidden="false" customHeight="false" outlineLevel="0" collapsed="false">
      <c r="A119" s="12" t="s">
        <v>2781</v>
      </c>
      <c r="B119" s="12" t="s">
        <v>1195</v>
      </c>
      <c r="C119" s="12" t="s">
        <v>2461</v>
      </c>
      <c r="D119" s="12" t="s">
        <v>2463</v>
      </c>
      <c r="E119" s="12" t="n">
        <v>13</v>
      </c>
      <c r="F119" s="12" t="n">
        <v>8</v>
      </c>
      <c r="G119" s="15" t="n">
        <v>28100</v>
      </c>
      <c r="H119" s="15" t="n">
        <v>35000</v>
      </c>
      <c r="I119" s="12"/>
      <c r="J119" s="17"/>
      <c r="K119" s="12" t="s">
        <v>1120</v>
      </c>
      <c r="L119" s="12" t="n">
        <v>9</v>
      </c>
      <c r="M119" s="15" t="n">
        <f aca="false">E119*G119</f>
        <v>365300</v>
      </c>
      <c r="N119" s="15" t="n">
        <f aca="false">E119*H119</f>
        <v>455000</v>
      </c>
      <c r="O119" s="18" t="n">
        <f aca="false">IF(H119=0,"",(H119-G119)/H119)</f>
        <v>0.197142857142857</v>
      </c>
      <c r="P119" s="12" t="str">
        <f aca="false">IF(J119="","",J119-README!$C$4)</f>
        <v/>
      </c>
      <c r="Q119" s="12" t="str">
        <f aca="false">IF(E119=0,"Out of stock",IF(E119&lt;=F119,"Low stock","OK"))</f>
        <v>OK</v>
      </c>
      <c r="R119" s="12" t="str">
        <f aca="false">IF(J119="","No expiry",IF(P119&lt;0,"Expired",IF(P119&lt;=30,"Expiring &lt;=30 days","OK")))</f>
        <v>No expiry</v>
      </c>
      <c r="S119" s="12"/>
    </row>
    <row r="120" customFormat="false" ht="15" hidden="false" customHeight="false" outlineLevel="0" collapsed="false">
      <c r="A120" s="12" t="s">
        <v>2782</v>
      </c>
      <c r="B120" s="12" t="s">
        <v>1195</v>
      </c>
      <c r="C120" s="12" t="s">
        <v>2465</v>
      </c>
      <c r="D120" s="12" t="s">
        <v>1935</v>
      </c>
      <c r="E120" s="12" t="n">
        <v>5</v>
      </c>
      <c r="F120" s="12" t="n">
        <v>4</v>
      </c>
      <c r="G120" s="15" t="n">
        <v>39500</v>
      </c>
      <c r="H120" s="15" t="n">
        <v>45000</v>
      </c>
      <c r="I120" s="12"/>
      <c r="J120" s="17"/>
      <c r="K120" s="12" t="s">
        <v>1120</v>
      </c>
      <c r="L120" s="12" t="n">
        <v>3</v>
      </c>
      <c r="M120" s="15" t="n">
        <f aca="false">E120*G120</f>
        <v>197500</v>
      </c>
      <c r="N120" s="15" t="n">
        <f aca="false">E120*H120</f>
        <v>225000</v>
      </c>
      <c r="O120" s="18" t="n">
        <f aca="false">IF(H120=0,"",(H120-G120)/H120)</f>
        <v>0.122222222222222</v>
      </c>
      <c r="P120" s="12" t="str">
        <f aca="false">IF(J120="","",J120-README!$C$4)</f>
        <v/>
      </c>
      <c r="Q120" s="12" t="str">
        <f aca="false">IF(E120=0,"Out of stock",IF(E120&lt;=F120,"Low stock","OK"))</f>
        <v>OK</v>
      </c>
      <c r="R120" s="12" t="str">
        <f aca="false">IF(J120="","No expiry",IF(P120&lt;0,"Expired",IF(P120&lt;=30,"Expiring &lt;=30 days","OK")))</f>
        <v>No expiry</v>
      </c>
      <c r="S120" s="12"/>
    </row>
    <row r="121" customFormat="false" ht="15" hidden="false" customHeight="false" outlineLevel="0" collapsed="false">
      <c r="A121" s="12" t="s">
        <v>2783</v>
      </c>
      <c r="B121" s="12" t="s">
        <v>1195</v>
      </c>
      <c r="C121" s="12" t="s">
        <v>2467</v>
      </c>
      <c r="D121" s="12" t="s">
        <v>2468</v>
      </c>
      <c r="E121" s="12" t="n">
        <v>6</v>
      </c>
      <c r="F121" s="12" t="n">
        <v>2</v>
      </c>
      <c r="G121" s="15" t="n">
        <v>20400</v>
      </c>
      <c r="H121" s="15" t="n">
        <v>25000</v>
      </c>
      <c r="I121" s="12"/>
      <c r="J121" s="17"/>
      <c r="K121" s="12" t="s">
        <v>1120</v>
      </c>
      <c r="L121" s="12" t="n">
        <v>4</v>
      </c>
      <c r="M121" s="15" t="n">
        <f aca="false">E121*G121</f>
        <v>122400</v>
      </c>
      <c r="N121" s="15" t="n">
        <f aca="false">E121*H121</f>
        <v>150000</v>
      </c>
      <c r="O121" s="18" t="n">
        <f aca="false">IF(H121=0,"",(H121-G121)/H121)</f>
        <v>0.184</v>
      </c>
      <c r="P121" s="12" t="str">
        <f aca="false">IF(J121="","",J121-README!$C$4)</f>
        <v/>
      </c>
      <c r="Q121" s="12" t="str">
        <f aca="false">IF(E121=0,"Out of stock",IF(E121&lt;=F121,"Low stock","OK"))</f>
        <v>OK</v>
      </c>
      <c r="R121" s="12" t="str">
        <f aca="false">IF(J121="","No expiry",IF(P121&lt;0,"Expired",IF(P121&lt;=30,"Expiring &lt;=30 days","OK")))</f>
        <v>No expiry</v>
      </c>
      <c r="S121" s="12"/>
    </row>
    <row r="122" customFormat="false" ht="15" hidden="false" customHeight="false" outlineLevel="0" collapsed="false">
      <c r="A122" s="12" t="s">
        <v>2784</v>
      </c>
      <c r="B122" s="12" t="s">
        <v>1195</v>
      </c>
      <c r="C122" s="12" t="s">
        <v>2470</v>
      </c>
      <c r="D122" s="12" t="s">
        <v>1945</v>
      </c>
      <c r="E122" s="12" t="n">
        <v>28</v>
      </c>
      <c r="F122" s="12" t="n">
        <v>4</v>
      </c>
      <c r="G122" s="15" t="n">
        <v>48800</v>
      </c>
      <c r="H122" s="15" t="n">
        <v>55000</v>
      </c>
      <c r="I122" s="12"/>
      <c r="J122" s="17"/>
      <c r="K122" s="12" t="s">
        <v>1120</v>
      </c>
      <c r="L122" s="12" t="n">
        <v>19</v>
      </c>
      <c r="M122" s="15" t="n">
        <f aca="false">E122*G122</f>
        <v>1366400</v>
      </c>
      <c r="N122" s="15" t="n">
        <f aca="false">E122*H122</f>
        <v>1540000</v>
      </c>
      <c r="O122" s="18" t="n">
        <f aca="false">IF(H122=0,"",(H122-G122)/H122)</f>
        <v>0.112727272727273</v>
      </c>
      <c r="P122" s="12" t="str">
        <f aca="false">IF(J122="","",J122-README!$C$4)</f>
        <v/>
      </c>
      <c r="Q122" s="12" t="str">
        <f aca="false">IF(E122=0,"Out of stock",IF(E122&lt;=F122,"Low stock","OK"))</f>
        <v>OK</v>
      </c>
      <c r="R122" s="12" t="str">
        <f aca="false">IF(J122="","No expiry",IF(P122&lt;0,"Expired",IF(P122&lt;=30,"Expiring &lt;=30 days","OK")))</f>
        <v>No expiry</v>
      </c>
      <c r="S122" s="12"/>
    </row>
    <row r="123" customFormat="false" ht="15" hidden="false" customHeight="false" outlineLevel="0" collapsed="false">
      <c r="A123" s="12" t="s">
        <v>2785</v>
      </c>
      <c r="B123" s="12" t="s">
        <v>1195</v>
      </c>
      <c r="C123" s="12" t="s">
        <v>2472</v>
      </c>
      <c r="D123" s="12" t="s">
        <v>1950</v>
      </c>
      <c r="E123" s="12" t="n">
        <v>11</v>
      </c>
      <c r="F123" s="12" t="n">
        <v>4</v>
      </c>
      <c r="G123" s="15" t="n">
        <v>12500</v>
      </c>
      <c r="H123" s="15" t="n">
        <v>15000</v>
      </c>
      <c r="I123" s="12"/>
      <c r="J123" s="17"/>
      <c r="K123" s="12" t="s">
        <v>1111</v>
      </c>
      <c r="L123" s="12" t="n">
        <v>0</v>
      </c>
      <c r="M123" s="15" t="n">
        <f aca="false">E123*G123</f>
        <v>137500</v>
      </c>
      <c r="N123" s="15" t="n">
        <f aca="false">E123*H123</f>
        <v>165000</v>
      </c>
      <c r="O123" s="18" t="n">
        <f aca="false">IF(H123=0,"",(H123-G123)/H123)</f>
        <v>0.166666666666667</v>
      </c>
      <c r="P123" s="12" t="str">
        <f aca="false">IF(J123="","",J123-README!$C$4)</f>
        <v/>
      </c>
      <c r="Q123" s="12" t="str">
        <f aca="false">IF(E123=0,"Out of stock",IF(E123&lt;=F123,"Low stock","OK"))</f>
        <v>OK</v>
      </c>
      <c r="R123" s="12" t="str">
        <f aca="false">IF(J123="","No expiry",IF(P123&lt;0,"Expired",IF(P123&lt;=30,"Expiring &lt;=30 days","OK")))</f>
        <v>No expiry</v>
      </c>
      <c r="S123" s="12"/>
    </row>
    <row r="124" customFormat="false" ht="15" hidden="false" customHeight="false" outlineLevel="0" collapsed="false">
      <c r="A124" s="12" t="s">
        <v>2786</v>
      </c>
      <c r="B124" s="12" t="s">
        <v>1195</v>
      </c>
      <c r="C124" s="12" t="s">
        <v>2474</v>
      </c>
      <c r="D124" s="12" t="s">
        <v>2476</v>
      </c>
      <c r="E124" s="12" t="n">
        <v>14</v>
      </c>
      <c r="F124" s="12" t="n">
        <v>4</v>
      </c>
      <c r="G124" s="15" t="n">
        <v>134500</v>
      </c>
      <c r="H124" s="15" t="n">
        <v>150000</v>
      </c>
      <c r="I124" s="12"/>
      <c r="J124" s="17"/>
      <c r="K124" s="12" t="s">
        <v>1120</v>
      </c>
      <c r="L124" s="12" t="n">
        <v>9</v>
      </c>
      <c r="M124" s="15" t="n">
        <f aca="false">E124*G124</f>
        <v>1883000</v>
      </c>
      <c r="N124" s="15" t="n">
        <f aca="false">E124*H124</f>
        <v>2100000</v>
      </c>
      <c r="O124" s="18" t="n">
        <f aca="false">IF(H124=0,"",(H124-G124)/H124)</f>
        <v>0.103333333333333</v>
      </c>
      <c r="P124" s="12" t="str">
        <f aca="false">IF(J124="","",J124-README!$C$4)</f>
        <v/>
      </c>
      <c r="Q124" s="12" t="str">
        <f aca="false">IF(E124=0,"Out of stock",IF(E124&lt;=F124,"Low stock","OK"))</f>
        <v>OK</v>
      </c>
      <c r="R124" s="12" t="str">
        <f aca="false">IF(J124="","No expiry",IF(P124&lt;0,"Expired",IF(P124&lt;=30,"Expiring &lt;=30 days","OK")))</f>
        <v>No expiry</v>
      </c>
      <c r="S124" s="12"/>
    </row>
    <row r="125" customFormat="false" ht="15" hidden="false" customHeight="false" outlineLevel="0" collapsed="false">
      <c r="A125" s="12" t="s">
        <v>2787</v>
      </c>
      <c r="B125" s="12" t="s">
        <v>1195</v>
      </c>
      <c r="C125" s="12" t="s">
        <v>2478</v>
      </c>
      <c r="D125" s="12" t="s">
        <v>1961</v>
      </c>
      <c r="E125" s="12" t="n">
        <v>10</v>
      </c>
      <c r="F125" s="12" t="n">
        <v>4</v>
      </c>
      <c r="G125" s="15" t="n">
        <v>28600</v>
      </c>
      <c r="H125" s="15" t="n">
        <v>35000</v>
      </c>
      <c r="I125" s="12"/>
      <c r="J125" s="17"/>
      <c r="K125" s="12" t="s">
        <v>1120</v>
      </c>
      <c r="L125" s="12" t="n">
        <v>7</v>
      </c>
      <c r="M125" s="15" t="n">
        <f aca="false">E125*G125</f>
        <v>286000</v>
      </c>
      <c r="N125" s="15" t="n">
        <f aca="false">E125*H125</f>
        <v>350000</v>
      </c>
      <c r="O125" s="18" t="n">
        <f aca="false">IF(H125=0,"",(H125-G125)/H125)</f>
        <v>0.182857142857143</v>
      </c>
      <c r="P125" s="12" t="str">
        <f aca="false">IF(J125="","",J125-README!$C$4)</f>
        <v/>
      </c>
      <c r="Q125" s="12" t="str">
        <f aca="false">IF(E125=0,"Out of stock",IF(E125&lt;=F125,"Low stock","OK"))</f>
        <v>OK</v>
      </c>
      <c r="R125" s="12" t="str">
        <f aca="false">IF(J125="","No expiry",IF(P125&lt;0,"Expired",IF(P125&lt;=30,"Expiring &lt;=30 days","OK")))</f>
        <v>No expiry</v>
      </c>
      <c r="S125" s="12"/>
    </row>
    <row r="126" customFormat="false" ht="15" hidden="false" customHeight="false" outlineLevel="0" collapsed="false">
      <c r="A126" s="12" t="s">
        <v>2788</v>
      </c>
      <c r="B126" s="12" t="s">
        <v>1195</v>
      </c>
      <c r="C126" s="12" t="s">
        <v>2532</v>
      </c>
      <c r="D126" s="12" t="s">
        <v>2534</v>
      </c>
      <c r="E126" s="12" t="n">
        <v>92</v>
      </c>
      <c r="F126" s="12" t="n">
        <v>18</v>
      </c>
      <c r="G126" s="15" t="n">
        <v>12800</v>
      </c>
      <c r="H126" s="15" t="n">
        <v>14000</v>
      </c>
      <c r="I126" s="12"/>
      <c r="J126" s="17"/>
      <c r="K126" s="12" t="s">
        <v>1120</v>
      </c>
      <c r="L126" s="12" t="n">
        <v>64</v>
      </c>
      <c r="M126" s="15" t="n">
        <f aca="false">E126*G126</f>
        <v>1177600</v>
      </c>
      <c r="N126" s="15" t="n">
        <f aca="false">E126*H126</f>
        <v>1288000</v>
      </c>
      <c r="O126" s="18" t="n">
        <f aca="false">IF(H126=0,"",(H126-G126)/H126)</f>
        <v>0.0857142857142857</v>
      </c>
      <c r="P126" s="12" t="str">
        <f aca="false">IF(J126="","",J126-README!$C$4)</f>
        <v/>
      </c>
      <c r="Q126" s="12" t="str">
        <f aca="false">IF(E126=0,"Out of stock",IF(E126&lt;=F126,"Low stock","OK"))</f>
        <v>OK</v>
      </c>
      <c r="R126" s="12" t="str">
        <f aca="false">IF(J126="","No expiry",IF(P126&lt;0,"Expired",IF(P126&lt;=30,"Expiring &lt;=30 days","OK")))</f>
        <v>No expiry</v>
      </c>
      <c r="S126" s="12"/>
    </row>
    <row r="127" customFormat="false" ht="15" hidden="false" customHeight="false" outlineLevel="0" collapsed="false">
      <c r="A127" s="12" t="s">
        <v>2789</v>
      </c>
      <c r="B127" s="12" t="s">
        <v>1291</v>
      </c>
      <c r="C127" s="12" t="s">
        <v>2157</v>
      </c>
      <c r="D127" s="12" t="s">
        <v>2159</v>
      </c>
      <c r="E127" s="12" t="n">
        <v>22</v>
      </c>
      <c r="F127" s="12" t="n">
        <v>8</v>
      </c>
      <c r="G127" s="15" t="n">
        <v>7900</v>
      </c>
      <c r="H127" s="15" t="n">
        <v>9300</v>
      </c>
      <c r="I127" s="12" t="s">
        <v>2790</v>
      </c>
      <c r="J127" s="17" t="n">
        <v>46557</v>
      </c>
      <c r="K127" s="12" t="s">
        <v>1120</v>
      </c>
      <c r="L127" s="12" t="n">
        <v>15</v>
      </c>
      <c r="M127" s="15" t="n">
        <f aca="false">E127*G127</f>
        <v>173800</v>
      </c>
      <c r="N127" s="15" t="n">
        <f aca="false">E127*H127</f>
        <v>204600</v>
      </c>
      <c r="O127" s="18" t="n">
        <f aca="false">IF(H127=0,"",(H127-G127)/H127)</f>
        <v>0.150537634408602</v>
      </c>
      <c r="P127" s="12" t="n">
        <f aca="false">IF(J127="","",J127-README!$C$4)</f>
        <v>235</v>
      </c>
      <c r="Q127" s="12" t="str">
        <f aca="false">IF(E127=0,"Out of stock",IF(E127&lt;=F127,"Low stock","OK"))</f>
        <v>OK</v>
      </c>
      <c r="R127" s="12" t="str">
        <f aca="false">IF(J127="","No expiry",IF(P127&lt;0,"Expired",IF(P127&lt;=30,"Expiring &lt;=30 days","OK")))</f>
        <v>OK</v>
      </c>
      <c r="S127" s="12"/>
    </row>
    <row r="128" customFormat="false" ht="15" hidden="false" customHeight="false" outlineLevel="0" collapsed="false">
      <c r="A128" s="12" t="s">
        <v>2791</v>
      </c>
      <c r="B128" s="12" t="s">
        <v>1291</v>
      </c>
      <c r="C128" s="12" t="s">
        <v>2171</v>
      </c>
      <c r="D128" s="12" t="s">
        <v>2172</v>
      </c>
      <c r="E128" s="12" t="n">
        <v>19</v>
      </c>
      <c r="F128" s="12" t="n">
        <v>8</v>
      </c>
      <c r="G128" s="15" t="n">
        <v>7100</v>
      </c>
      <c r="H128" s="15" t="n">
        <v>8800</v>
      </c>
      <c r="I128" s="12" t="s">
        <v>2792</v>
      </c>
      <c r="J128" s="17" t="n">
        <v>46584</v>
      </c>
      <c r="K128" s="12" t="s">
        <v>1111</v>
      </c>
      <c r="L128" s="12" t="n">
        <v>0</v>
      </c>
      <c r="M128" s="15" t="n">
        <f aca="false">E128*G128</f>
        <v>134900</v>
      </c>
      <c r="N128" s="15" t="n">
        <f aca="false">E128*H128</f>
        <v>167200</v>
      </c>
      <c r="O128" s="18" t="n">
        <f aca="false">IF(H128=0,"",(H128-G128)/H128)</f>
        <v>0.193181818181818</v>
      </c>
      <c r="P128" s="12" t="n">
        <f aca="false">IF(J128="","",J128-README!$C$4)</f>
        <v>262</v>
      </c>
      <c r="Q128" s="12" t="str">
        <f aca="false">IF(E128=0,"Out of stock",IF(E128&lt;=F128,"Low stock","OK"))</f>
        <v>OK</v>
      </c>
      <c r="R128" s="12" t="str">
        <f aca="false">IF(J128="","No expiry",IF(P128&lt;0,"Expired",IF(P128&lt;=30,"Expiring &lt;=30 days","OK")))</f>
        <v>OK</v>
      </c>
      <c r="S128" s="12"/>
    </row>
    <row r="129" customFormat="false" ht="15" hidden="false" customHeight="false" outlineLevel="0" collapsed="false">
      <c r="A129" s="12" t="s">
        <v>2793</v>
      </c>
      <c r="B129" s="12" t="s">
        <v>1291</v>
      </c>
      <c r="C129" s="12" t="s">
        <v>2212</v>
      </c>
      <c r="D129" s="12" t="s">
        <v>2214</v>
      </c>
      <c r="E129" s="12" t="n">
        <v>52</v>
      </c>
      <c r="F129" s="12" t="n">
        <v>28</v>
      </c>
      <c r="G129" s="15" t="n">
        <v>3500</v>
      </c>
      <c r="H129" s="15" t="n">
        <v>4100</v>
      </c>
      <c r="I129" s="12" t="s">
        <v>2794</v>
      </c>
      <c r="J129" s="17" t="n">
        <v>46636</v>
      </c>
      <c r="K129" s="12" t="s">
        <v>1111</v>
      </c>
      <c r="L129" s="12" t="n">
        <v>0</v>
      </c>
      <c r="M129" s="15" t="n">
        <f aca="false">E129*G129</f>
        <v>182000</v>
      </c>
      <c r="N129" s="15" t="n">
        <f aca="false">E129*H129</f>
        <v>213200</v>
      </c>
      <c r="O129" s="18" t="n">
        <f aca="false">IF(H129=0,"",(H129-G129)/H129)</f>
        <v>0.146341463414634</v>
      </c>
      <c r="P129" s="12" t="n">
        <f aca="false">IF(J129="","",J129-README!$C$4)</f>
        <v>314</v>
      </c>
      <c r="Q129" s="12" t="str">
        <f aca="false">IF(E129=0,"Out of stock",IF(E129&lt;=F129,"Low stock","OK"))</f>
        <v>OK</v>
      </c>
      <c r="R129" s="12" t="str">
        <f aca="false">IF(J129="","No expiry",IF(P129&lt;0,"Expired",IF(P129&lt;=30,"Expiring &lt;=30 days","OK")))</f>
        <v>OK</v>
      </c>
      <c r="S129" s="12"/>
    </row>
    <row r="130" customFormat="false" ht="15" hidden="false" customHeight="false" outlineLevel="0" collapsed="false">
      <c r="A130" s="12" t="s">
        <v>2795</v>
      </c>
      <c r="B130" s="12" t="s">
        <v>1291</v>
      </c>
      <c r="C130" s="12" t="s">
        <v>2216</v>
      </c>
      <c r="D130" s="12" t="s">
        <v>2218</v>
      </c>
      <c r="E130" s="12" t="n">
        <v>80</v>
      </c>
      <c r="F130" s="12" t="n">
        <v>28</v>
      </c>
      <c r="G130" s="15" t="n">
        <v>8300</v>
      </c>
      <c r="H130" s="15" t="n">
        <v>9300</v>
      </c>
      <c r="I130" s="12" t="s">
        <v>2796</v>
      </c>
      <c r="J130" s="17" t="n">
        <v>46882</v>
      </c>
      <c r="K130" s="12" t="s">
        <v>1120</v>
      </c>
      <c r="L130" s="12" t="n">
        <v>56</v>
      </c>
      <c r="M130" s="15" t="n">
        <f aca="false">E130*G130</f>
        <v>664000</v>
      </c>
      <c r="N130" s="15" t="n">
        <f aca="false">E130*H130</f>
        <v>744000</v>
      </c>
      <c r="O130" s="18" t="n">
        <f aca="false">IF(H130=0,"",(H130-G130)/H130)</f>
        <v>0.10752688172043</v>
      </c>
      <c r="P130" s="12" t="n">
        <f aca="false">IF(J130="","",J130-README!$C$4)</f>
        <v>560</v>
      </c>
      <c r="Q130" s="12" t="str">
        <f aca="false">IF(E130=0,"Out of stock",IF(E130&lt;=F130,"Low stock","OK"))</f>
        <v>OK</v>
      </c>
      <c r="R130" s="12" t="str">
        <f aca="false">IF(J130="","No expiry",IF(P130&lt;0,"Expired",IF(P130&lt;=30,"Expiring &lt;=30 days","OK")))</f>
        <v>OK</v>
      </c>
      <c r="S130" s="12"/>
    </row>
    <row r="131" customFormat="false" ht="15" hidden="false" customHeight="false" outlineLevel="0" collapsed="false">
      <c r="A131" s="12" t="s">
        <v>2797</v>
      </c>
      <c r="B131" s="12" t="s">
        <v>1291</v>
      </c>
      <c r="C131" s="12" t="s">
        <v>2208</v>
      </c>
      <c r="D131" s="12" t="s">
        <v>2210</v>
      </c>
      <c r="E131" s="12" t="n">
        <v>98</v>
      </c>
      <c r="F131" s="12" t="n">
        <v>28</v>
      </c>
      <c r="G131" s="15" t="n">
        <v>1200</v>
      </c>
      <c r="H131" s="15" t="n">
        <v>1500</v>
      </c>
      <c r="I131" s="12" t="s">
        <v>2798</v>
      </c>
      <c r="J131" s="17" t="n">
        <v>46692</v>
      </c>
      <c r="K131" s="12" t="s">
        <v>1120</v>
      </c>
      <c r="L131" s="12" t="n">
        <v>68</v>
      </c>
      <c r="M131" s="15" t="n">
        <f aca="false">E131*G131</f>
        <v>117600</v>
      </c>
      <c r="N131" s="15" t="n">
        <f aca="false">E131*H131</f>
        <v>147000</v>
      </c>
      <c r="O131" s="18" t="n">
        <f aca="false">IF(H131=0,"",(H131-G131)/H131)</f>
        <v>0.2</v>
      </c>
      <c r="P131" s="12" t="n">
        <f aca="false">IF(J131="","",J131-README!$C$4)</f>
        <v>370</v>
      </c>
      <c r="Q131" s="12" t="str">
        <f aca="false">IF(E131=0,"Out of stock",IF(E131&lt;=F131,"Low stock","OK"))</f>
        <v>OK</v>
      </c>
      <c r="R131" s="12" t="str">
        <f aca="false">IF(J131="","No expiry",IF(P131&lt;0,"Expired",IF(P131&lt;=30,"Expiring &lt;=30 days","OK")))</f>
        <v>OK</v>
      </c>
      <c r="S131" s="12"/>
    </row>
    <row r="132" customFormat="false" ht="15" hidden="false" customHeight="false" outlineLevel="0" collapsed="false">
      <c r="A132" s="12" t="s">
        <v>2799</v>
      </c>
      <c r="B132" s="12" t="s">
        <v>1291</v>
      </c>
      <c r="C132" s="12" t="s">
        <v>2223</v>
      </c>
      <c r="D132" s="12" t="s">
        <v>2224</v>
      </c>
      <c r="E132" s="12" t="n">
        <v>32</v>
      </c>
      <c r="F132" s="12" t="n">
        <v>28</v>
      </c>
      <c r="G132" s="15" t="n">
        <v>4100</v>
      </c>
      <c r="H132" s="15" t="n">
        <v>4600</v>
      </c>
      <c r="I132" s="12" t="s">
        <v>2800</v>
      </c>
      <c r="J132" s="17" t="n">
        <v>46526</v>
      </c>
      <c r="K132" s="12" t="s">
        <v>1120</v>
      </c>
      <c r="L132" s="12" t="n">
        <v>22</v>
      </c>
      <c r="M132" s="15" t="n">
        <f aca="false">E132*G132</f>
        <v>131200</v>
      </c>
      <c r="N132" s="15" t="n">
        <f aca="false">E132*H132</f>
        <v>147200</v>
      </c>
      <c r="O132" s="18" t="n">
        <f aca="false">IF(H132=0,"",(H132-G132)/H132)</f>
        <v>0.108695652173913</v>
      </c>
      <c r="P132" s="12" t="n">
        <f aca="false">IF(J132="","",J132-README!$C$4)</f>
        <v>204</v>
      </c>
      <c r="Q132" s="12" t="str">
        <f aca="false">IF(E132=0,"Out of stock",IF(E132&lt;=F132,"Low stock","OK"))</f>
        <v>OK</v>
      </c>
      <c r="R132" s="12" t="str">
        <f aca="false">IF(J132="","No expiry",IF(P132&lt;0,"Expired",IF(P132&lt;=30,"Expiring &lt;=30 days","OK")))</f>
        <v>OK</v>
      </c>
      <c r="S132" s="12"/>
    </row>
    <row r="133" customFormat="false" ht="15" hidden="false" customHeight="false" outlineLevel="0" collapsed="false">
      <c r="A133" s="12" t="s">
        <v>2801</v>
      </c>
      <c r="B133" s="12" t="s">
        <v>1291</v>
      </c>
      <c r="C133" s="12" t="s">
        <v>2226</v>
      </c>
      <c r="D133" s="12" t="s">
        <v>2227</v>
      </c>
      <c r="E133" s="12" t="n">
        <v>33</v>
      </c>
      <c r="F133" s="12" t="n">
        <v>28</v>
      </c>
      <c r="G133" s="15" t="n">
        <v>9000</v>
      </c>
      <c r="H133" s="15" t="n">
        <v>10500</v>
      </c>
      <c r="I133" s="12" t="s">
        <v>2802</v>
      </c>
      <c r="J133" s="17" t="n">
        <v>46590</v>
      </c>
      <c r="K133" s="12" t="s">
        <v>1120</v>
      </c>
      <c r="L133" s="12" t="n">
        <v>23</v>
      </c>
      <c r="M133" s="15" t="n">
        <f aca="false">E133*G133</f>
        <v>297000</v>
      </c>
      <c r="N133" s="15" t="n">
        <f aca="false">E133*H133</f>
        <v>346500</v>
      </c>
      <c r="O133" s="18" t="n">
        <f aca="false">IF(H133=0,"",(H133-G133)/H133)</f>
        <v>0.142857142857143</v>
      </c>
      <c r="P133" s="12" t="n">
        <f aca="false">IF(J133="","",J133-README!$C$4)</f>
        <v>268</v>
      </c>
      <c r="Q133" s="12" t="str">
        <f aca="false">IF(E133=0,"Out of stock",IF(E133&lt;=F133,"Low stock","OK"))</f>
        <v>OK</v>
      </c>
      <c r="R133" s="12" t="str">
        <f aca="false">IF(J133="","No expiry",IF(P133&lt;0,"Expired",IF(P133&lt;=30,"Expiring &lt;=30 days","OK")))</f>
        <v>OK</v>
      </c>
      <c r="S133" s="12"/>
    </row>
    <row r="134" customFormat="false" ht="15" hidden="false" customHeight="false" outlineLevel="0" collapsed="false">
      <c r="A134" s="12" t="s">
        <v>2803</v>
      </c>
      <c r="B134" s="12" t="s">
        <v>1291</v>
      </c>
      <c r="C134" s="12" t="s">
        <v>2220</v>
      </c>
      <c r="D134" s="12" t="s">
        <v>2221</v>
      </c>
      <c r="E134" s="12" t="n">
        <v>30</v>
      </c>
      <c r="F134" s="12" t="n">
        <v>28</v>
      </c>
      <c r="G134" s="15" t="n">
        <v>1300</v>
      </c>
      <c r="H134" s="15" t="n">
        <v>1500</v>
      </c>
      <c r="I134" s="12" t="s">
        <v>2804</v>
      </c>
      <c r="J134" s="17" t="n">
        <v>46859</v>
      </c>
      <c r="K134" s="12" t="s">
        <v>1120</v>
      </c>
      <c r="L134" s="12" t="n">
        <v>21</v>
      </c>
      <c r="M134" s="15" t="n">
        <f aca="false">E134*G134</f>
        <v>39000</v>
      </c>
      <c r="N134" s="15" t="n">
        <f aca="false">E134*H134</f>
        <v>45000</v>
      </c>
      <c r="O134" s="18" t="n">
        <f aca="false">IF(H134=0,"",(H134-G134)/H134)</f>
        <v>0.133333333333333</v>
      </c>
      <c r="P134" s="12" t="n">
        <f aca="false">IF(J134="","",J134-README!$C$4)</f>
        <v>537</v>
      </c>
      <c r="Q134" s="12" t="str">
        <f aca="false">IF(E134=0,"Out of stock",IF(E134&lt;=F134,"Low stock","OK"))</f>
        <v>OK</v>
      </c>
      <c r="R134" s="12" t="str">
        <f aca="false">IF(J134="","No expiry",IF(P134&lt;0,"Expired",IF(P134&lt;=30,"Expiring &lt;=30 days","OK")))</f>
        <v>OK</v>
      </c>
      <c r="S134" s="12"/>
    </row>
    <row r="135" customFormat="false" ht="15" hidden="false" customHeight="false" outlineLevel="0" collapsed="false">
      <c r="A135" s="12" t="s">
        <v>2805</v>
      </c>
      <c r="B135" s="12" t="s">
        <v>1291</v>
      </c>
      <c r="C135" s="12" t="s">
        <v>2229</v>
      </c>
      <c r="D135" s="12" t="s">
        <v>2230</v>
      </c>
      <c r="E135" s="12" t="n">
        <v>67</v>
      </c>
      <c r="F135" s="12" t="n">
        <v>28</v>
      </c>
      <c r="G135" s="15" t="n">
        <v>3300</v>
      </c>
      <c r="H135" s="15" t="n">
        <v>4100</v>
      </c>
      <c r="I135" s="12" t="s">
        <v>2806</v>
      </c>
      <c r="J135" s="17" t="n">
        <v>46927</v>
      </c>
      <c r="K135" s="12" t="s">
        <v>1120</v>
      </c>
      <c r="L135" s="12" t="n">
        <v>46</v>
      </c>
      <c r="M135" s="15" t="n">
        <f aca="false">E135*G135</f>
        <v>221100</v>
      </c>
      <c r="N135" s="15" t="n">
        <f aca="false">E135*H135</f>
        <v>274700</v>
      </c>
      <c r="O135" s="18" t="n">
        <f aca="false">IF(H135=0,"",(H135-G135)/H135)</f>
        <v>0.195121951219512</v>
      </c>
      <c r="P135" s="12" t="n">
        <f aca="false">IF(J135="","",J135-README!$C$4)</f>
        <v>605</v>
      </c>
      <c r="Q135" s="12" t="str">
        <f aca="false">IF(E135=0,"Out of stock",IF(E135&lt;=F135,"Low stock","OK"))</f>
        <v>OK</v>
      </c>
      <c r="R135" s="12" t="str">
        <f aca="false">IF(J135="","No expiry",IF(P135&lt;0,"Expired",IF(P135&lt;=30,"Expiring &lt;=30 days","OK")))</f>
        <v>OK</v>
      </c>
      <c r="S135" s="12"/>
    </row>
    <row r="136" customFormat="false" ht="15" hidden="false" customHeight="false" outlineLevel="0" collapsed="false">
      <c r="A136" s="12" t="s">
        <v>2807</v>
      </c>
      <c r="B136" s="12" t="s">
        <v>1291</v>
      </c>
      <c r="C136" s="12" t="s">
        <v>2232</v>
      </c>
      <c r="D136" s="12" t="s">
        <v>2234</v>
      </c>
      <c r="E136" s="12" t="n">
        <v>5</v>
      </c>
      <c r="F136" s="12" t="n">
        <v>3</v>
      </c>
      <c r="G136" s="15" t="n">
        <v>26000</v>
      </c>
      <c r="H136" s="15" t="n">
        <v>31000</v>
      </c>
      <c r="I136" s="12" t="s">
        <v>2808</v>
      </c>
      <c r="J136" s="17" t="n">
        <v>46588</v>
      </c>
      <c r="K136" s="12" t="s">
        <v>1111</v>
      </c>
      <c r="L136" s="12" t="n">
        <v>0</v>
      </c>
      <c r="M136" s="15" t="n">
        <f aca="false">E136*G136</f>
        <v>130000</v>
      </c>
      <c r="N136" s="15" t="n">
        <f aca="false">E136*H136</f>
        <v>155000</v>
      </c>
      <c r="O136" s="18" t="n">
        <f aca="false">IF(H136=0,"",(H136-G136)/H136)</f>
        <v>0.161290322580645</v>
      </c>
      <c r="P136" s="12" t="n">
        <f aca="false">IF(J136="","",J136-README!$C$4)</f>
        <v>266</v>
      </c>
      <c r="Q136" s="12" t="str">
        <f aca="false">IF(E136=0,"Out of stock",IF(E136&lt;=F136,"Low stock","OK"))</f>
        <v>OK</v>
      </c>
      <c r="R136" s="12" t="str">
        <f aca="false">IF(J136="","No expiry",IF(P136&lt;0,"Expired",IF(P136&lt;=30,"Expiring &lt;=30 days","OK")))</f>
        <v>OK</v>
      </c>
      <c r="S136" s="12"/>
    </row>
    <row r="137" customFormat="false" ht="15" hidden="false" customHeight="false" outlineLevel="0" collapsed="false">
      <c r="A137" s="12" t="s">
        <v>2809</v>
      </c>
      <c r="B137" s="12" t="s">
        <v>1291</v>
      </c>
      <c r="C137" s="12" t="s">
        <v>2236</v>
      </c>
      <c r="D137" s="12" t="s">
        <v>2238</v>
      </c>
      <c r="E137" s="12" t="n">
        <v>26</v>
      </c>
      <c r="F137" s="12" t="n">
        <v>8</v>
      </c>
      <c r="G137" s="15" t="n">
        <v>11200</v>
      </c>
      <c r="H137" s="15" t="n">
        <v>12500</v>
      </c>
      <c r="I137" s="12" t="s">
        <v>2810</v>
      </c>
      <c r="J137" s="17" t="n">
        <v>46782</v>
      </c>
      <c r="K137" s="12" t="s">
        <v>1120</v>
      </c>
      <c r="L137" s="12" t="n">
        <v>18</v>
      </c>
      <c r="M137" s="15" t="n">
        <f aca="false">E137*G137</f>
        <v>291200</v>
      </c>
      <c r="N137" s="15" t="n">
        <f aca="false">E137*H137</f>
        <v>325000</v>
      </c>
      <c r="O137" s="18" t="n">
        <f aca="false">IF(H137=0,"",(H137-G137)/H137)</f>
        <v>0.104</v>
      </c>
      <c r="P137" s="12" t="n">
        <f aca="false">IF(J137="","",J137-README!$C$4)</f>
        <v>460</v>
      </c>
      <c r="Q137" s="12" t="str">
        <f aca="false">IF(E137=0,"Out of stock",IF(E137&lt;=F137,"Low stock","OK"))</f>
        <v>OK</v>
      </c>
      <c r="R137" s="12" t="str">
        <f aca="false">IF(J137="","No expiry",IF(P137&lt;0,"Expired",IF(P137&lt;=30,"Expiring &lt;=30 days","OK")))</f>
        <v>OK</v>
      </c>
      <c r="S137" s="12"/>
    </row>
    <row r="138" customFormat="false" ht="15" hidden="false" customHeight="false" outlineLevel="0" collapsed="false">
      <c r="A138" s="12" t="s">
        <v>2811</v>
      </c>
      <c r="B138" s="12" t="s">
        <v>1291</v>
      </c>
      <c r="C138" s="12" t="s">
        <v>2244</v>
      </c>
      <c r="D138" s="12" t="s">
        <v>2246</v>
      </c>
      <c r="E138" s="12" t="n">
        <v>22</v>
      </c>
      <c r="F138" s="12" t="n">
        <v>8</v>
      </c>
      <c r="G138" s="15" t="n">
        <v>23300</v>
      </c>
      <c r="H138" s="15" t="n">
        <v>29000</v>
      </c>
      <c r="I138" s="12" t="s">
        <v>2812</v>
      </c>
      <c r="J138" s="17" t="n">
        <v>46916</v>
      </c>
      <c r="K138" s="12" t="s">
        <v>1120</v>
      </c>
      <c r="L138" s="12" t="n">
        <v>15</v>
      </c>
      <c r="M138" s="15" t="n">
        <f aca="false">E138*G138</f>
        <v>512600</v>
      </c>
      <c r="N138" s="15" t="n">
        <f aca="false">E138*H138</f>
        <v>638000</v>
      </c>
      <c r="O138" s="18" t="n">
        <f aca="false">IF(H138=0,"",(H138-G138)/H138)</f>
        <v>0.196551724137931</v>
      </c>
      <c r="P138" s="12" t="n">
        <f aca="false">IF(J138="","",J138-README!$C$4)</f>
        <v>594</v>
      </c>
      <c r="Q138" s="12" t="str">
        <f aca="false">IF(E138=0,"Out of stock",IF(E138&lt;=F138,"Low stock","OK"))</f>
        <v>OK</v>
      </c>
      <c r="R138" s="12" t="str">
        <f aca="false">IF(J138="","No expiry",IF(P138&lt;0,"Expired",IF(P138&lt;=30,"Expiring &lt;=30 days","OK")))</f>
        <v>OK</v>
      </c>
      <c r="S138" s="12"/>
    </row>
    <row r="139" customFormat="false" ht="15" hidden="false" customHeight="false" outlineLevel="0" collapsed="false">
      <c r="A139" s="12" t="s">
        <v>2813</v>
      </c>
      <c r="B139" s="12" t="s">
        <v>1291</v>
      </c>
      <c r="C139" s="12" t="s">
        <v>2240</v>
      </c>
      <c r="D139" s="12" t="s">
        <v>2242</v>
      </c>
      <c r="E139" s="12" t="n">
        <v>15</v>
      </c>
      <c r="F139" s="12" t="n">
        <v>8</v>
      </c>
      <c r="G139" s="15" t="n">
        <v>13100</v>
      </c>
      <c r="H139" s="15" t="n">
        <v>15500</v>
      </c>
      <c r="I139" s="12" t="s">
        <v>2814</v>
      </c>
      <c r="J139" s="17" t="n">
        <v>46824</v>
      </c>
      <c r="K139" s="12" t="s">
        <v>1120</v>
      </c>
      <c r="L139" s="12" t="n">
        <v>10</v>
      </c>
      <c r="M139" s="15" t="n">
        <f aca="false">E139*G139</f>
        <v>196500</v>
      </c>
      <c r="N139" s="15" t="n">
        <f aca="false">E139*H139</f>
        <v>232500</v>
      </c>
      <c r="O139" s="18" t="n">
        <f aca="false">IF(H139=0,"",(H139-G139)/H139)</f>
        <v>0.154838709677419</v>
      </c>
      <c r="P139" s="12" t="n">
        <f aca="false">IF(J139="","",J139-README!$C$4)</f>
        <v>502</v>
      </c>
      <c r="Q139" s="12" t="str">
        <f aca="false">IF(E139=0,"Out of stock",IF(E139&lt;=F139,"Low stock","OK"))</f>
        <v>OK</v>
      </c>
      <c r="R139" s="12" t="str">
        <f aca="false">IF(J139="","No expiry",IF(P139&lt;0,"Expired",IF(P139&lt;=30,"Expiring &lt;=30 days","OK")))</f>
        <v>OK</v>
      </c>
      <c r="S139" s="12"/>
    </row>
    <row r="140" customFormat="false" ht="15" hidden="false" customHeight="false" outlineLevel="0" collapsed="false">
      <c r="A140" s="12" t="s">
        <v>2815</v>
      </c>
      <c r="B140" s="12" t="s">
        <v>1291</v>
      </c>
      <c r="C140" s="12" t="s">
        <v>2251</v>
      </c>
      <c r="D140" s="12" t="s">
        <v>2252</v>
      </c>
      <c r="E140" s="12" t="n">
        <v>64</v>
      </c>
      <c r="F140" s="12" t="n">
        <v>28</v>
      </c>
      <c r="G140" s="15" t="n">
        <v>3000</v>
      </c>
      <c r="H140" s="15" t="n">
        <v>3600</v>
      </c>
      <c r="I140" s="12" t="s">
        <v>2816</v>
      </c>
      <c r="J140" s="17" t="n">
        <v>46994</v>
      </c>
      <c r="K140" s="12" t="s">
        <v>1111</v>
      </c>
      <c r="L140" s="12" t="n">
        <v>0</v>
      </c>
      <c r="M140" s="15" t="n">
        <f aca="false">E140*G140</f>
        <v>192000</v>
      </c>
      <c r="N140" s="15" t="n">
        <f aca="false">E140*H140</f>
        <v>230400</v>
      </c>
      <c r="O140" s="18" t="n">
        <f aca="false">IF(H140=0,"",(H140-G140)/H140)</f>
        <v>0.166666666666667</v>
      </c>
      <c r="P140" s="12" t="n">
        <f aca="false">IF(J140="","",J140-README!$C$4)</f>
        <v>672</v>
      </c>
      <c r="Q140" s="12" t="str">
        <f aca="false">IF(E140=0,"Out of stock",IF(E140&lt;=F140,"Low stock","OK"))</f>
        <v>OK</v>
      </c>
      <c r="R140" s="12" t="str">
        <f aca="false">IF(J140="","No expiry",IF(P140&lt;0,"Expired",IF(P140&lt;=30,"Expiring &lt;=30 days","OK")))</f>
        <v>OK</v>
      </c>
      <c r="S140" s="12"/>
    </row>
    <row r="141" customFormat="false" ht="15" hidden="false" customHeight="false" outlineLevel="0" collapsed="false">
      <c r="A141" s="12" t="s">
        <v>2817</v>
      </c>
      <c r="B141" s="12" t="s">
        <v>1291</v>
      </c>
      <c r="C141" s="12" t="s">
        <v>2254</v>
      </c>
      <c r="D141" s="12" t="s">
        <v>2255</v>
      </c>
      <c r="E141" s="12" t="n">
        <v>0</v>
      </c>
      <c r="F141" s="12" t="n">
        <v>28</v>
      </c>
      <c r="G141" s="15" t="n">
        <v>7400</v>
      </c>
      <c r="H141" s="15" t="n">
        <v>8200</v>
      </c>
      <c r="I141" s="12" t="s">
        <v>2818</v>
      </c>
      <c r="J141" s="17" t="n">
        <v>46781</v>
      </c>
      <c r="K141" s="12" t="s">
        <v>1120</v>
      </c>
      <c r="L141" s="12" t="n">
        <v>0</v>
      </c>
      <c r="M141" s="15" t="n">
        <f aca="false">E141*G141</f>
        <v>0</v>
      </c>
      <c r="N141" s="15" t="n">
        <f aca="false">E141*H141</f>
        <v>0</v>
      </c>
      <c r="O141" s="18" t="n">
        <f aca="false">IF(H141=0,"",(H141-G141)/H141)</f>
        <v>0.0975609756097561</v>
      </c>
      <c r="P141" s="12" t="n">
        <f aca="false">IF(J141="","",J141-README!$C$4)</f>
        <v>459</v>
      </c>
      <c r="Q141" s="12" t="str">
        <f aca="false">IF(E141=0,"Out of stock",IF(E141&lt;=F141,"Low stock","OK"))</f>
        <v>Out of stock</v>
      </c>
      <c r="R141" s="12" t="str">
        <f aca="false">IF(J141="","No expiry",IF(P141&lt;0,"Expired",IF(P141&lt;=30,"Expiring &lt;=30 days","OK")))</f>
        <v>OK</v>
      </c>
      <c r="S141" s="19" t="s">
        <v>2819</v>
      </c>
    </row>
    <row r="142" customFormat="false" ht="15" hidden="false" customHeight="false" outlineLevel="0" collapsed="false">
      <c r="A142" s="12" t="s">
        <v>2820</v>
      </c>
      <c r="B142" s="12" t="s">
        <v>1291</v>
      </c>
      <c r="C142" s="12" t="s">
        <v>2248</v>
      </c>
      <c r="D142" s="12" t="s">
        <v>2249</v>
      </c>
      <c r="E142" s="12" t="n">
        <v>62</v>
      </c>
      <c r="F142" s="12" t="n">
        <v>28</v>
      </c>
      <c r="G142" s="15" t="n">
        <v>1000</v>
      </c>
      <c r="H142" s="15" t="n">
        <v>1200</v>
      </c>
      <c r="I142" s="12" t="s">
        <v>2821</v>
      </c>
      <c r="J142" s="17" t="n">
        <v>46638</v>
      </c>
      <c r="K142" s="12" t="s">
        <v>1120</v>
      </c>
      <c r="L142" s="12" t="n">
        <v>43</v>
      </c>
      <c r="M142" s="15" t="n">
        <f aca="false">E142*G142</f>
        <v>62000</v>
      </c>
      <c r="N142" s="15" t="n">
        <f aca="false">E142*H142</f>
        <v>74400</v>
      </c>
      <c r="O142" s="18" t="n">
        <f aca="false">IF(H142=0,"",(H142-G142)/H142)</f>
        <v>0.166666666666667</v>
      </c>
      <c r="P142" s="12" t="n">
        <f aca="false">IF(J142="","",J142-README!$C$4)</f>
        <v>316</v>
      </c>
      <c r="Q142" s="12" t="str">
        <f aca="false">IF(E142=0,"Out of stock",IF(E142&lt;=F142,"Low stock","OK"))</f>
        <v>OK</v>
      </c>
      <c r="R142" s="12" t="str">
        <f aca="false">IF(J142="","No expiry",IF(P142&lt;0,"Expired",IF(P142&lt;=30,"Expiring &lt;=30 days","OK")))</f>
        <v>OK</v>
      </c>
      <c r="S142" s="12"/>
    </row>
    <row r="143" customFormat="false" ht="15" hidden="false" customHeight="false" outlineLevel="0" collapsed="false">
      <c r="A143" s="12" t="s">
        <v>2822</v>
      </c>
      <c r="B143" s="12" t="s">
        <v>1291</v>
      </c>
      <c r="C143" s="12" t="s">
        <v>2257</v>
      </c>
      <c r="D143" s="12" t="s">
        <v>2258</v>
      </c>
      <c r="E143" s="12" t="n">
        <v>98</v>
      </c>
      <c r="F143" s="12" t="n">
        <v>28</v>
      </c>
      <c r="G143" s="15" t="n">
        <v>2800</v>
      </c>
      <c r="H143" s="15" t="n">
        <v>3100</v>
      </c>
      <c r="I143" s="12" t="s">
        <v>2823</v>
      </c>
      <c r="J143" s="17" t="n">
        <v>46990</v>
      </c>
      <c r="K143" s="12" t="s">
        <v>1120</v>
      </c>
      <c r="L143" s="12" t="n">
        <v>68</v>
      </c>
      <c r="M143" s="15" t="n">
        <f aca="false">E143*G143</f>
        <v>274400</v>
      </c>
      <c r="N143" s="15" t="n">
        <f aca="false">E143*H143</f>
        <v>303800</v>
      </c>
      <c r="O143" s="18" t="n">
        <f aca="false">IF(H143=0,"",(H143-G143)/H143)</f>
        <v>0.0967741935483871</v>
      </c>
      <c r="P143" s="12" t="n">
        <f aca="false">IF(J143="","",J143-README!$C$4)</f>
        <v>668</v>
      </c>
      <c r="Q143" s="12" t="str">
        <f aca="false">IF(E143=0,"Out of stock",IF(E143&lt;=F143,"Low stock","OK"))</f>
        <v>OK</v>
      </c>
      <c r="R143" s="12" t="str">
        <f aca="false">IF(J143="","No expiry",IF(P143&lt;0,"Expired",IF(P143&lt;=30,"Expiring &lt;=30 days","OK")))</f>
        <v>OK</v>
      </c>
      <c r="S143" s="12"/>
    </row>
    <row r="144" customFormat="false" ht="15" hidden="false" customHeight="false" outlineLevel="0" collapsed="false">
      <c r="A144" s="12" t="s">
        <v>2824</v>
      </c>
      <c r="B144" s="12" t="s">
        <v>1291</v>
      </c>
      <c r="C144" s="12" t="s">
        <v>2260</v>
      </c>
      <c r="D144" s="12" t="s">
        <v>2262</v>
      </c>
      <c r="E144" s="12" t="n">
        <v>12</v>
      </c>
      <c r="F144" s="12" t="n">
        <v>4</v>
      </c>
      <c r="G144" s="15" t="n">
        <v>6200</v>
      </c>
      <c r="H144" s="15" t="n">
        <v>7200</v>
      </c>
      <c r="I144" s="12" t="s">
        <v>2825</v>
      </c>
      <c r="J144" s="17" t="n">
        <v>46643</v>
      </c>
      <c r="K144" s="12" t="s">
        <v>1120</v>
      </c>
      <c r="L144" s="12" t="n">
        <v>8</v>
      </c>
      <c r="M144" s="15" t="n">
        <f aca="false">E144*G144</f>
        <v>74400</v>
      </c>
      <c r="N144" s="15" t="n">
        <f aca="false">E144*H144</f>
        <v>86400</v>
      </c>
      <c r="O144" s="18" t="n">
        <f aca="false">IF(H144=0,"",(H144-G144)/H144)</f>
        <v>0.138888888888889</v>
      </c>
      <c r="P144" s="12" t="n">
        <f aca="false">IF(J144="","",J144-README!$C$4)</f>
        <v>321</v>
      </c>
      <c r="Q144" s="12" t="str">
        <f aca="false">IF(E144=0,"Out of stock",IF(E144&lt;=F144,"Low stock","OK"))</f>
        <v>OK</v>
      </c>
      <c r="R144" s="12" t="str">
        <f aca="false">IF(J144="","No expiry",IF(P144&lt;0,"Expired",IF(P144&lt;=30,"Expiring &lt;=30 days","OK")))</f>
        <v>OK</v>
      </c>
      <c r="S144" s="12"/>
    </row>
    <row r="145" customFormat="false" ht="15" hidden="false" customHeight="false" outlineLevel="0" collapsed="false">
      <c r="A145" s="12" t="s">
        <v>2826</v>
      </c>
      <c r="B145" s="12" t="s">
        <v>1291</v>
      </c>
      <c r="C145" s="12" t="s">
        <v>2272</v>
      </c>
      <c r="D145" s="12" t="s">
        <v>2274</v>
      </c>
      <c r="E145" s="12" t="n">
        <v>35</v>
      </c>
      <c r="F145" s="12" t="n">
        <v>11</v>
      </c>
      <c r="G145" s="15" t="n">
        <v>86300</v>
      </c>
      <c r="H145" s="15" t="n">
        <v>98000</v>
      </c>
      <c r="I145" s="12" t="s">
        <v>2827</v>
      </c>
      <c r="J145" s="17" t="n">
        <v>46757</v>
      </c>
      <c r="K145" s="12" t="s">
        <v>1120</v>
      </c>
      <c r="L145" s="12" t="n">
        <v>24</v>
      </c>
      <c r="M145" s="15" t="n">
        <f aca="false">E145*G145</f>
        <v>3020500</v>
      </c>
      <c r="N145" s="15" t="n">
        <f aca="false">E145*H145</f>
        <v>3430000</v>
      </c>
      <c r="O145" s="18" t="n">
        <f aca="false">IF(H145=0,"",(H145-G145)/H145)</f>
        <v>0.119387755102041</v>
      </c>
      <c r="P145" s="12" t="n">
        <f aca="false">IF(J145="","",J145-README!$C$4)</f>
        <v>435</v>
      </c>
      <c r="Q145" s="12" t="str">
        <f aca="false">IF(E145=0,"Out of stock",IF(E145&lt;=F145,"Low stock","OK"))</f>
        <v>OK</v>
      </c>
      <c r="R145" s="12" t="str">
        <f aca="false">IF(J145="","No expiry",IF(P145&lt;0,"Expired",IF(P145&lt;=30,"Expiring &lt;=30 days","OK")))</f>
        <v>OK</v>
      </c>
      <c r="S145" s="12"/>
    </row>
    <row r="146" customFormat="false" ht="15" hidden="false" customHeight="false" outlineLevel="0" collapsed="false">
      <c r="A146" s="12" t="s">
        <v>2828</v>
      </c>
      <c r="B146" s="12" t="s">
        <v>1291</v>
      </c>
      <c r="C146" s="12" t="s">
        <v>2268</v>
      </c>
      <c r="D146" s="12" t="s">
        <v>2270</v>
      </c>
      <c r="E146" s="12" t="n">
        <v>10</v>
      </c>
      <c r="F146" s="12" t="n">
        <v>8</v>
      </c>
      <c r="G146" s="15" t="n">
        <v>10600</v>
      </c>
      <c r="H146" s="15" t="n">
        <v>12500</v>
      </c>
      <c r="I146" s="12" t="s">
        <v>2829</v>
      </c>
      <c r="J146" s="17" t="n">
        <v>46771</v>
      </c>
      <c r="K146" s="12" t="s">
        <v>1120</v>
      </c>
      <c r="L146" s="12" t="n">
        <v>7</v>
      </c>
      <c r="M146" s="15" t="n">
        <f aca="false">E146*G146</f>
        <v>106000</v>
      </c>
      <c r="N146" s="15" t="n">
        <f aca="false">E146*H146</f>
        <v>125000</v>
      </c>
      <c r="O146" s="18" t="n">
        <f aca="false">IF(H146=0,"",(H146-G146)/H146)</f>
        <v>0.152</v>
      </c>
      <c r="P146" s="12" t="n">
        <f aca="false">IF(J146="","",J146-README!$C$4)</f>
        <v>449</v>
      </c>
      <c r="Q146" s="12" t="str">
        <f aca="false">IF(E146=0,"Out of stock",IF(E146&lt;=F146,"Low stock","OK"))</f>
        <v>OK</v>
      </c>
      <c r="R146" s="12" t="str">
        <f aca="false">IF(J146="","No expiry",IF(P146&lt;0,"Expired",IF(P146&lt;=30,"Expiring &lt;=30 days","OK")))</f>
        <v>OK</v>
      </c>
      <c r="S146" s="12"/>
    </row>
    <row r="147" customFormat="false" ht="15" hidden="false" customHeight="false" outlineLevel="0" collapsed="false">
      <c r="A147" s="12" t="s">
        <v>2830</v>
      </c>
      <c r="B147" s="12" t="s">
        <v>1291</v>
      </c>
      <c r="C147" s="12" t="s">
        <v>2276</v>
      </c>
      <c r="D147" s="12" t="s">
        <v>2277</v>
      </c>
      <c r="E147" s="12" t="n">
        <v>35</v>
      </c>
      <c r="F147" s="12" t="n">
        <v>28</v>
      </c>
      <c r="G147" s="15" t="n">
        <v>5500</v>
      </c>
      <c r="H147" s="15" t="n">
        <v>6200</v>
      </c>
      <c r="I147" s="12" t="s">
        <v>2831</v>
      </c>
      <c r="J147" s="17" t="n">
        <v>46770</v>
      </c>
      <c r="K147" s="12" t="s">
        <v>1120</v>
      </c>
      <c r="L147" s="12" t="n">
        <v>24</v>
      </c>
      <c r="M147" s="15" t="n">
        <f aca="false">E147*G147</f>
        <v>192500</v>
      </c>
      <c r="N147" s="15" t="n">
        <f aca="false">E147*H147</f>
        <v>217000</v>
      </c>
      <c r="O147" s="18" t="n">
        <f aca="false">IF(H147=0,"",(H147-G147)/H147)</f>
        <v>0.112903225806452</v>
      </c>
      <c r="P147" s="12" t="n">
        <f aca="false">IF(J147="","",J147-README!$C$4)</f>
        <v>448</v>
      </c>
      <c r="Q147" s="12" t="str">
        <f aca="false">IF(E147=0,"Out of stock",IF(E147&lt;=F147,"Low stock","OK"))</f>
        <v>OK</v>
      </c>
      <c r="R147" s="12" t="str">
        <f aca="false">IF(J147="","No expiry",IF(P147&lt;0,"Expired",IF(P147&lt;=30,"Expiring &lt;=30 days","OK")))</f>
        <v>OK</v>
      </c>
      <c r="S147" s="12"/>
    </row>
    <row r="148" customFormat="false" ht="15" hidden="false" customHeight="false" outlineLevel="0" collapsed="false">
      <c r="A148" s="12" t="s">
        <v>2832</v>
      </c>
      <c r="B148" s="12" t="s">
        <v>1291</v>
      </c>
      <c r="C148" s="12" t="s">
        <v>2279</v>
      </c>
      <c r="D148" s="12" t="s">
        <v>2281</v>
      </c>
      <c r="E148" s="12" t="n">
        <v>26</v>
      </c>
      <c r="F148" s="12" t="n">
        <v>8</v>
      </c>
      <c r="G148" s="15" t="n">
        <v>21800</v>
      </c>
      <c r="H148" s="15" t="n">
        <v>26000</v>
      </c>
      <c r="I148" s="12" t="s">
        <v>2833</v>
      </c>
      <c r="J148" s="17" t="n">
        <v>46589</v>
      </c>
      <c r="K148" s="12" t="s">
        <v>1120</v>
      </c>
      <c r="L148" s="12" t="n">
        <v>18</v>
      </c>
      <c r="M148" s="15" t="n">
        <f aca="false">E148*G148</f>
        <v>566800</v>
      </c>
      <c r="N148" s="15" t="n">
        <f aca="false">E148*H148</f>
        <v>676000</v>
      </c>
      <c r="O148" s="18" t="n">
        <f aca="false">IF(H148=0,"",(H148-G148)/H148)</f>
        <v>0.161538461538462</v>
      </c>
      <c r="P148" s="12" t="n">
        <f aca="false">IF(J148="","",J148-README!$C$4)</f>
        <v>267</v>
      </c>
      <c r="Q148" s="12" t="str">
        <f aca="false">IF(E148=0,"Out of stock",IF(E148&lt;=F148,"Low stock","OK"))</f>
        <v>OK</v>
      </c>
      <c r="R148" s="12" t="str">
        <f aca="false">IF(J148="","No expiry",IF(P148&lt;0,"Expired",IF(P148&lt;=30,"Expiring &lt;=30 days","OK")))</f>
        <v>OK</v>
      </c>
      <c r="S148" s="12"/>
    </row>
    <row r="149" customFormat="false" ht="15" hidden="false" customHeight="false" outlineLevel="0" collapsed="false">
      <c r="A149" s="12" t="s">
        <v>2834</v>
      </c>
      <c r="B149" s="12" t="s">
        <v>1291</v>
      </c>
      <c r="C149" s="12" t="s">
        <v>2283</v>
      </c>
      <c r="D149" s="12" t="s">
        <v>2284</v>
      </c>
      <c r="E149" s="12" t="n">
        <v>16</v>
      </c>
      <c r="F149" s="12" t="n">
        <v>8</v>
      </c>
      <c r="G149" s="15" t="n">
        <v>28800</v>
      </c>
      <c r="H149" s="15" t="n">
        <v>36000</v>
      </c>
      <c r="I149" s="12" t="s">
        <v>2835</v>
      </c>
      <c r="J149" s="17" t="n">
        <v>46605</v>
      </c>
      <c r="K149" s="12" t="s">
        <v>1111</v>
      </c>
      <c r="L149" s="12" t="n">
        <v>0</v>
      </c>
      <c r="M149" s="15" t="n">
        <f aca="false">E149*G149</f>
        <v>460800</v>
      </c>
      <c r="N149" s="15" t="n">
        <f aca="false">E149*H149</f>
        <v>576000</v>
      </c>
      <c r="O149" s="18" t="n">
        <f aca="false">IF(H149=0,"",(H149-G149)/H149)</f>
        <v>0.2</v>
      </c>
      <c r="P149" s="12" t="n">
        <f aca="false">IF(J149="","",J149-README!$C$4)</f>
        <v>283</v>
      </c>
      <c r="Q149" s="12" t="str">
        <f aca="false">IF(E149=0,"Out of stock",IF(E149&lt;=F149,"Low stock","OK"))</f>
        <v>OK</v>
      </c>
      <c r="R149" s="12" t="str">
        <f aca="false">IF(J149="","No expiry",IF(P149&lt;0,"Expired",IF(P149&lt;=30,"Expiring &lt;=30 days","OK")))</f>
        <v>OK</v>
      </c>
      <c r="S149" s="12"/>
    </row>
    <row r="150" customFormat="false" ht="15" hidden="false" customHeight="false" outlineLevel="0" collapsed="false">
      <c r="A150" s="12" t="s">
        <v>2836</v>
      </c>
      <c r="B150" s="12" t="s">
        <v>1291</v>
      </c>
      <c r="C150" s="12" t="s">
        <v>2286</v>
      </c>
      <c r="D150" s="12" t="s">
        <v>2287</v>
      </c>
      <c r="E150" s="12" t="n">
        <v>15</v>
      </c>
      <c r="F150" s="12" t="n">
        <v>8</v>
      </c>
      <c r="G150" s="15" t="n">
        <v>10100</v>
      </c>
      <c r="H150" s="15" t="n">
        <v>12500</v>
      </c>
      <c r="I150" s="12" t="s">
        <v>2837</v>
      </c>
      <c r="J150" s="17" t="n">
        <v>46725</v>
      </c>
      <c r="K150" s="12" t="s">
        <v>1120</v>
      </c>
      <c r="L150" s="12" t="n">
        <v>10</v>
      </c>
      <c r="M150" s="15" t="n">
        <f aca="false">E150*G150</f>
        <v>151500</v>
      </c>
      <c r="N150" s="15" t="n">
        <f aca="false">E150*H150</f>
        <v>187500</v>
      </c>
      <c r="O150" s="18" t="n">
        <f aca="false">IF(H150=0,"",(H150-G150)/H150)</f>
        <v>0.192</v>
      </c>
      <c r="P150" s="12" t="n">
        <f aca="false">IF(J150="","",J150-README!$C$4)</f>
        <v>403</v>
      </c>
      <c r="Q150" s="12" t="str">
        <f aca="false">IF(E150=0,"Out of stock",IF(E150&lt;=F150,"Low stock","OK"))</f>
        <v>OK</v>
      </c>
      <c r="R150" s="12" t="str">
        <f aca="false">IF(J150="","No expiry",IF(P150&lt;0,"Expired",IF(P150&lt;=30,"Expiring &lt;=30 days","OK")))</f>
        <v>OK</v>
      </c>
      <c r="S150" s="12"/>
    </row>
    <row r="151" customFormat="false" ht="15" hidden="false" customHeight="false" outlineLevel="0" collapsed="false">
      <c r="A151" s="12" t="s">
        <v>2838</v>
      </c>
      <c r="B151" s="12" t="s">
        <v>1291</v>
      </c>
      <c r="C151" s="12" t="s">
        <v>2289</v>
      </c>
      <c r="D151" s="12" t="s">
        <v>2290</v>
      </c>
      <c r="E151" s="12" t="n">
        <v>19</v>
      </c>
      <c r="F151" s="12" t="n">
        <v>11</v>
      </c>
      <c r="G151" s="15" t="n">
        <v>213500</v>
      </c>
      <c r="H151" s="15" t="n">
        <v>257500</v>
      </c>
      <c r="I151" s="12" t="s">
        <v>2839</v>
      </c>
      <c r="J151" s="17" t="n">
        <v>46977</v>
      </c>
      <c r="K151" s="12" t="s">
        <v>1120</v>
      </c>
      <c r="L151" s="12" t="n">
        <v>13</v>
      </c>
      <c r="M151" s="15" t="n">
        <f aca="false">E151*G151</f>
        <v>4056500</v>
      </c>
      <c r="N151" s="15" t="n">
        <f aca="false">E151*H151</f>
        <v>4892500</v>
      </c>
      <c r="O151" s="18" t="n">
        <f aca="false">IF(H151=0,"",(H151-G151)/H151)</f>
        <v>0.170873786407767</v>
      </c>
      <c r="P151" s="12" t="n">
        <f aca="false">IF(J151="","",J151-README!$C$4)</f>
        <v>655</v>
      </c>
      <c r="Q151" s="12" t="str">
        <f aca="false">IF(E151=0,"Out of stock",IF(E151&lt;=F151,"Low stock","OK"))</f>
        <v>OK</v>
      </c>
      <c r="R151" s="12" t="str">
        <f aca="false">IF(J151="","No expiry",IF(P151&lt;0,"Expired",IF(P151&lt;=30,"Expiring &lt;=30 days","OK")))</f>
        <v>OK</v>
      </c>
      <c r="S151" s="12"/>
    </row>
    <row r="152" customFormat="false" ht="15" hidden="false" customHeight="false" outlineLevel="0" collapsed="false">
      <c r="A152" s="12" t="s">
        <v>2840</v>
      </c>
      <c r="B152" s="12" t="s">
        <v>1291</v>
      </c>
      <c r="C152" s="12" t="s">
        <v>2295</v>
      </c>
      <c r="D152" s="12" t="s">
        <v>2296</v>
      </c>
      <c r="E152" s="12" t="n">
        <v>24</v>
      </c>
      <c r="F152" s="12" t="n">
        <v>8</v>
      </c>
      <c r="G152" s="15" t="n">
        <v>21800</v>
      </c>
      <c r="H152" s="15" t="n">
        <v>27000</v>
      </c>
      <c r="I152" s="12" t="s">
        <v>2841</v>
      </c>
      <c r="J152" s="17" t="n">
        <v>46559</v>
      </c>
      <c r="K152" s="12" t="s">
        <v>1120</v>
      </c>
      <c r="L152" s="12" t="n">
        <v>16</v>
      </c>
      <c r="M152" s="15" t="n">
        <f aca="false">E152*G152</f>
        <v>523200</v>
      </c>
      <c r="N152" s="15" t="n">
        <f aca="false">E152*H152</f>
        <v>648000</v>
      </c>
      <c r="O152" s="18" t="n">
        <f aca="false">IF(H152=0,"",(H152-G152)/H152)</f>
        <v>0.192592592592593</v>
      </c>
      <c r="P152" s="12" t="n">
        <f aca="false">IF(J152="","",J152-README!$C$4)</f>
        <v>237</v>
      </c>
      <c r="Q152" s="12" t="str">
        <f aca="false">IF(E152=0,"Out of stock",IF(E152&lt;=F152,"Low stock","OK"))</f>
        <v>OK</v>
      </c>
      <c r="R152" s="12" t="str">
        <f aca="false">IF(J152="","No expiry",IF(P152&lt;0,"Expired",IF(P152&lt;=30,"Expiring &lt;=30 days","OK")))</f>
        <v>OK</v>
      </c>
      <c r="S152" s="12"/>
    </row>
    <row r="153" customFormat="false" ht="15" hidden="false" customHeight="false" outlineLevel="0" collapsed="false">
      <c r="A153" s="12" t="s">
        <v>2842</v>
      </c>
      <c r="B153" s="12" t="s">
        <v>1291</v>
      </c>
      <c r="C153" s="12" t="s">
        <v>2292</v>
      </c>
      <c r="D153" s="12" t="s">
        <v>2293</v>
      </c>
      <c r="E153" s="12" t="n">
        <v>13</v>
      </c>
      <c r="F153" s="12" t="n">
        <v>8</v>
      </c>
      <c r="G153" s="15" t="n">
        <v>12000</v>
      </c>
      <c r="H153" s="15" t="n">
        <v>14500</v>
      </c>
      <c r="I153" s="12" t="s">
        <v>2843</v>
      </c>
      <c r="J153" s="17" t="n">
        <v>46638</v>
      </c>
      <c r="K153" s="12" t="s">
        <v>1120</v>
      </c>
      <c r="L153" s="12" t="n">
        <v>9</v>
      </c>
      <c r="M153" s="15" t="n">
        <f aca="false">E153*G153</f>
        <v>156000</v>
      </c>
      <c r="N153" s="15" t="n">
        <f aca="false">E153*H153</f>
        <v>188500</v>
      </c>
      <c r="O153" s="18" t="n">
        <f aca="false">IF(H153=0,"",(H153-G153)/H153)</f>
        <v>0.172413793103448</v>
      </c>
      <c r="P153" s="12" t="n">
        <f aca="false">IF(J153="","",J153-README!$C$4)</f>
        <v>316</v>
      </c>
      <c r="Q153" s="12" t="str">
        <f aca="false">IF(E153=0,"Out of stock",IF(E153&lt;=F153,"Low stock","OK"))</f>
        <v>OK</v>
      </c>
      <c r="R153" s="12" t="str">
        <f aca="false">IF(J153="","No expiry",IF(P153&lt;0,"Expired",IF(P153&lt;=30,"Expiring &lt;=30 days","OK")))</f>
        <v>OK</v>
      </c>
      <c r="S153" s="12"/>
    </row>
    <row r="154" customFormat="false" ht="15" hidden="false" customHeight="false" outlineLevel="0" collapsed="false">
      <c r="A154" s="12" t="s">
        <v>2844</v>
      </c>
      <c r="B154" s="12" t="s">
        <v>1291</v>
      </c>
      <c r="C154" s="12" t="s">
        <v>2302</v>
      </c>
      <c r="D154" s="12" t="s">
        <v>2303</v>
      </c>
      <c r="E154" s="12" t="n">
        <v>10</v>
      </c>
      <c r="F154" s="12" t="n">
        <v>5</v>
      </c>
      <c r="G154" s="15" t="n">
        <v>10600</v>
      </c>
      <c r="H154" s="15" t="n">
        <v>12500</v>
      </c>
      <c r="I154" s="12" t="s">
        <v>2845</v>
      </c>
      <c r="J154" s="17" t="n">
        <v>46662</v>
      </c>
      <c r="K154" s="12" t="s">
        <v>1120</v>
      </c>
      <c r="L154" s="12" t="n">
        <v>7</v>
      </c>
      <c r="M154" s="15" t="n">
        <f aca="false">E154*G154</f>
        <v>106000</v>
      </c>
      <c r="N154" s="15" t="n">
        <f aca="false">E154*H154</f>
        <v>125000</v>
      </c>
      <c r="O154" s="18" t="n">
        <f aca="false">IF(H154=0,"",(H154-G154)/H154)</f>
        <v>0.152</v>
      </c>
      <c r="P154" s="12" t="n">
        <f aca="false">IF(J154="","",J154-README!$C$4)</f>
        <v>340</v>
      </c>
      <c r="Q154" s="12" t="str">
        <f aca="false">IF(E154=0,"Out of stock",IF(E154&lt;=F154,"Low stock","OK"))</f>
        <v>OK</v>
      </c>
      <c r="R154" s="12" t="str">
        <f aca="false">IF(J154="","No expiry",IF(P154&lt;0,"Expired",IF(P154&lt;=30,"Expiring &lt;=30 days","OK")))</f>
        <v>OK</v>
      </c>
      <c r="S154" s="19" t="s">
        <v>2846</v>
      </c>
    </row>
    <row r="155" customFormat="false" ht="15" hidden="false" customHeight="false" outlineLevel="0" collapsed="false">
      <c r="A155" s="12" t="s">
        <v>2847</v>
      </c>
      <c r="B155" s="12" t="s">
        <v>1291</v>
      </c>
      <c r="C155" s="12" t="s">
        <v>2298</v>
      </c>
      <c r="D155" s="12" t="s">
        <v>2300</v>
      </c>
      <c r="E155" s="12" t="n">
        <v>23</v>
      </c>
      <c r="F155" s="12" t="n">
        <v>8</v>
      </c>
      <c r="G155" s="15" t="n">
        <v>6200</v>
      </c>
      <c r="H155" s="15" t="n">
        <v>7200</v>
      </c>
      <c r="I155" s="12" t="s">
        <v>2848</v>
      </c>
      <c r="J155" s="17" t="n">
        <v>47004</v>
      </c>
      <c r="K155" s="12" t="s">
        <v>1120</v>
      </c>
      <c r="L155" s="12" t="n">
        <v>16</v>
      </c>
      <c r="M155" s="15" t="n">
        <f aca="false">E155*G155</f>
        <v>142600</v>
      </c>
      <c r="N155" s="15" t="n">
        <f aca="false">E155*H155</f>
        <v>165600</v>
      </c>
      <c r="O155" s="18" t="n">
        <f aca="false">IF(H155=0,"",(H155-G155)/H155)</f>
        <v>0.138888888888889</v>
      </c>
      <c r="P155" s="12" t="n">
        <f aca="false">IF(J155="","",J155-README!$C$4)</f>
        <v>682</v>
      </c>
      <c r="Q155" s="12" t="str">
        <f aca="false">IF(E155=0,"Out of stock",IF(E155&lt;=F155,"Low stock","OK"))</f>
        <v>OK</v>
      </c>
      <c r="R155" s="12" t="str">
        <f aca="false">IF(J155="","No expiry",IF(P155&lt;0,"Expired",IF(P155&lt;=30,"Expiring &lt;=30 days","OK")))</f>
        <v>OK</v>
      </c>
      <c r="S155" s="12"/>
    </row>
    <row r="156" customFormat="false" ht="15" hidden="false" customHeight="false" outlineLevel="0" collapsed="false">
      <c r="A156" s="12" t="s">
        <v>2849</v>
      </c>
      <c r="B156" s="12" t="s">
        <v>1291</v>
      </c>
      <c r="C156" s="12" t="s">
        <v>2305</v>
      </c>
      <c r="D156" s="12" t="s">
        <v>2306</v>
      </c>
      <c r="E156" s="12" t="n">
        <v>31</v>
      </c>
      <c r="F156" s="12" t="n">
        <v>28</v>
      </c>
      <c r="G156" s="15" t="n">
        <v>4300</v>
      </c>
      <c r="H156" s="15" t="n">
        <v>5200</v>
      </c>
      <c r="I156" s="12" t="s">
        <v>2850</v>
      </c>
      <c r="J156" s="17" t="n">
        <v>46517</v>
      </c>
      <c r="K156" s="12" t="s">
        <v>1120</v>
      </c>
      <c r="L156" s="12" t="n">
        <v>21</v>
      </c>
      <c r="M156" s="15" t="n">
        <f aca="false">E156*G156</f>
        <v>133300</v>
      </c>
      <c r="N156" s="15" t="n">
        <f aca="false">E156*H156</f>
        <v>161200</v>
      </c>
      <c r="O156" s="18" t="n">
        <f aca="false">IF(H156=0,"",(H156-G156)/H156)</f>
        <v>0.173076923076923</v>
      </c>
      <c r="P156" s="12" t="n">
        <f aca="false">IF(J156="","",J156-README!$C$4)</f>
        <v>195</v>
      </c>
      <c r="Q156" s="12" t="str">
        <f aca="false">IF(E156=0,"Out of stock",IF(E156&lt;=F156,"Low stock","OK"))</f>
        <v>OK</v>
      </c>
      <c r="R156" s="12" t="str">
        <f aca="false">IF(J156="","No expiry",IF(P156&lt;0,"Expired",IF(P156&lt;=30,"Expiring &lt;=30 days","OK")))</f>
        <v>OK</v>
      </c>
      <c r="S156" s="12"/>
    </row>
    <row r="157" customFormat="false" ht="15" hidden="false" customHeight="false" outlineLevel="0" collapsed="false">
      <c r="A157" s="12" t="s">
        <v>2851</v>
      </c>
      <c r="B157" s="12" t="s">
        <v>1291</v>
      </c>
      <c r="C157" s="12" t="s">
        <v>2311</v>
      </c>
      <c r="D157" s="12" t="s">
        <v>2312</v>
      </c>
      <c r="E157" s="12" t="n">
        <v>13</v>
      </c>
      <c r="F157" s="12" t="n">
        <v>8</v>
      </c>
      <c r="G157" s="15" t="n">
        <v>12600</v>
      </c>
      <c r="H157" s="15" t="n">
        <v>14500</v>
      </c>
      <c r="I157" s="12" t="s">
        <v>2852</v>
      </c>
      <c r="J157" s="17" t="n">
        <v>46478</v>
      </c>
      <c r="K157" s="12" t="s">
        <v>1120</v>
      </c>
      <c r="L157" s="12" t="n">
        <v>9</v>
      </c>
      <c r="M157" s="15" t="n">
        <f aca="false">E157*G157</f>
        <v>163800</v>
      </c>
      <c r="N157" s="15" t="n">
        <f aca="false">E157*H157</f>
        <v>188500</v>
      </c>
      <c r="O157" s="18" t="n">
        <f aca="false">IF(H157=0,"",(H157-G157)/H157)</f>
        <v>0.131034482758621</v>
      </c>
      <c r="P157" s="12" t="n">
        <f aca="false">IF(J157="","",J157-README!$C$4)</f>
        <v>156</v>
      </c>
      <c r="Q157" s="12" t="str">
        <f aca="false">IF(E157=0,"Out of stock",IF(E157&lt;=F157,"Low stock","OK"))</f>
        <v>OK</v>
      </c>
      <c r="R157" s="12" t="str">
        <f aca="false">IF(J157="","No expiry",IF(P157&lt;0,"Expired",IF(P157&lt;=30,"Expiring &lt;=30 days","OK")))</f>
        <v>OK</v>
      </c>
      <c r="S157" s="12"/>
    </row>
    <row r="158" customFormat="false" ht="15" hidden="false" customHeight="false" outlineLevel="0" collapsed="false">
      <c r="A158" s="12" t="s">
        <v>2853</v>
      </c>
      <c r="B158" s="12" t="s">
        <v>1291</v>
      </c>
      <c r="C158" s="12" t="s">
        <v>2317</v>
      </c>
      <c r="D158" s="12" t="s">
        <v>2318</v>
      </c>
      <c r="E158" s="12" t="n">
        <v>11</v>
      </c>
      <c r="F158" s="12" t="n">
        <v>8</v>
      </c>
      <c r="G158" s="15" t="n">
        <v>23700</v>
      </c>
      <c r="H158" s="15" t="n">
        <v>29000</v>
      </c>
      <c r="I158" s="12" t="s">
        <v>2854</v>
      </c>
      <c r="J158" s="17" t="n">
        <v>46787</v>
      </c>
      <c r="K158" s="12" t="s">
        <v>1120</v>
      </c>
      <c r="L158" s="12" t="n">
        <v>7</v>
      </c>
      <c r="M158" s="15" t="n">
        <f aca="false">E158*G158</f>
        <v>260700</v>
      </c>
      <c r="N158" s="15" t="n">
        <f aca="false">E158*H158</f>
        <v>319000</v>
      </c>
      <c r="O158" s="18" t="n">
        <f aca="false">IF(H158=0,"",(H158-G158)/H158)</f>
        <v>0.182758620689655</v>
      </c>
      <c r="P158" s="12" t="n">
        <f aca="false">IF(J158="","",J158-README!$C$4)</f>
        <v>465</v>
      </c>
      <c r="Q158" s="12" t="str">
        <f aca="false">IF(E158=0,"Out of stock",IF(E158&lt;=F158,"Low stock","OK"))</f>
        <v>OK</v>
      </c>
      <c r="R158" s="12" t="str">
        <f aca="false">IF(J158="","No expiry",IF(P158&lt;0,"Expired",IF(P158&lt;=30,"Expiring &lt;=30 days","OK")))</f>
        <v>OK</v>
      </c>
      <c r="S158" s="12"/>
    </row>
    <row r="159" customFormat="false" ht="15" hidden="false" customHeight="false" outlineLevel="0" collapsed="false">
      <c r="A159" s="12" t="s">
        <v>2855</v>
      </c>
      <c r="B159" s="12" t="s">
        <v>1291</v>
      </c>
      <c r="C159" s="12" t="s">
        <v>2314</v>
      </c>
      <c r="D159" s="12" t="s">
        <v>2315</v>
      </c>
      <c r="E159" s="12" t="n">
        <v>19</v>
      </c>
      <c r="F159" s="12" t="n">
        <v>8</v>
      </c>
      <c r="G159" s="15" t="n">
        <v>14400</v>
      </c>
      <c r="H159" s="15" t="n">
        <v>16500</v>
      </c>
      <c r="I159" s="12" t="s">
        <v>2856</v>
      </c>
      <c r="J159" s="17" t="n">
        <v>46930</v>
      </c>
      <c r="K159" s="12" t="s">
        <v>1120</v>
      </c>
      <c r="L159" s="12" t="n">
        <v>13</v>
      </c>
      <c r="M159" s="15" t="n">
        <f aca="false">E159*G159</f>
        <v>273600</v>
      </c>
      <c r="N159" s="15" t="n">
        <f aca="false">E159*H159</f>
        <v>313500</v>
      </c>
      <c r="O159" s="18" t="n">
        <f aca="false">IF(H159=0,"",(H159-G159)/H159)</f>
        <v>0.127272727272727</v>
      </c>
      <c r="P159" s="12" t="n">
        <f aca="false">IF(J159="","",J159-README!$C$4)</f>
        <v>608</v>
      </c>
      <c r="Q159" s="12" t="str">
        <f aca="false">IF(E159=0,"Out of stock",IF(E159&lt;=F159,"Low stock","OK"))</f>
        <v>OK</v>
      </c>
      <c r="R159" s="12" t="str">
        <f aca="false">IF(J159="","No expiry",IF(P159&lt;0,"Expired",IF(P159&lt;=30,"Expiring &lt;=30 days","OK")))</f>
        <v>OK</v>
      </c>
      <c r="S159" s="12"/>
    </row>
    <row r="160" customFormat="false" ht="15" hidden="false" customHeight="false" outlineLevel="0" collapsed="false">
      <c r="A160" s="12" t="s">
        <v>2857</v>
      </c>
      <c r="B160" s="12" t="s">
        <v>1291</v>
      </c>
      <c r="C160" s="12" t="s">
        <v>2320</v>
      </c>
      <c r="D160" s="12" t="s">
        <v>2321</v>
      </c>
      <c r="E160" s="12" t="n">
        <v>31</v>
      </c>
      <c r="F160" s="12" t="n">
        <v>28</v>
      </c>
      <c r="G160" s="15" t="n">
        <v>3200</v>
      </c>
      <c r="H160" s="15" t="n">
        <v>3600</v>
      </c>
      <c r="I160" s="12" t="s">
        <v>2858</v>
      </c>
      <c r="J160" s="17" t="n">
        <v>46835</v>
      </c>
      <c r="K160" s="12" t="s">
        <v>1120</v>
      </c>
      <c r="L160" s="12" t="n">
        <v>21</v>
      </c>
      <c r="M160" s="15" t="n">
        <f aca="false">E160*G160</f>
        <v>99200</v>
      </c>
      <c r="N160" s="15" t="n">
        <f aca="false">E160*H160</f>
        <v>111600</v>
      </c>
      <c r="O160" s="18" t="n">
        <f aca="false">IF(H160=0,"",(H160-G160)/H160)</f>
        <v>0.111111111111111</v>
      </c>
      <c r="P160" s="12" t="n">
        <f aca="false">IF(J160="","",J160-README!$C$4)</f>
        <v>513</v>
      </c>
      <c r="Q160" s="12" t="str">
        <f aca="false">IF(E160=0,"Out of stock",IF(E160&lt;=F160,"Low stock","OK"))</f>
        <v>OK</v>
      </c>
      <c r="R160" s="12" t="str">
        <f aca="false">IF(J160="","No expiry",IF(P160&lt;0,"Expired",IF(P160&lt;=30,"Expiring &lt;=30 days","OK")))</f>
        <v>OK</v>
      </c>
      <c r="S160" s="12"/>
    </row>
    <row r="161" customFormat="false" ht="15" hidden="false" customHeight="false" outlineLevel="0" collapsed="false">
      <c r="A161" s="12" t="s">
        <v>2859</v>
      </c>
      <c r="B161" s="12" t="s">
        <v>1291</v>
      </c>
      <c r="C161" s="12" t="s">
        <v>2323</v>
      </c>
      <c r="D161" s="12" t="s">
        <v>2324</v>
      </c>
      <c r="E161" s="12" t="n">
        <v>11</v>
      </c>
      <c r="F161" s="12" t="n">
        <v>8</v>
      </c>
      <c r="G161" s="15" t="n">
        <v>12900</v>
      </c>
      <c r="H161" s="15" t="n">
        <v>14500</v>
      </c>
      <c r="I161" s="12" t="s">
        <v>2860</v>
      </c>
      <c r="J161" s="17" t="n">
        <v>46781</v>
      </c>
      <c r="K161" s="12" t="s">
        <v>1120</v>
      </c>
      <c r="L161" s="12" t="n">
        <v>7</v>
      </c>
      <c r="M161" s="15" t="n">
        <f aca="false">E161*G161</f>
        <v>141900</v>
      </c>
      <c r="N161" s="15" t="n">
        <f aca="false">E161*H161</f>
        <v>159500</v>
      </c>
      <c r="O161" s="18" t="n">
        <f aca="false">IF(H161=0,"",(H161-G161)/H161)</f>
        <v>0.110344827586207</v>
      </c>
      <c r="P161" s="12" t="n">
        <f aca="false">IF(J161="","",J161-README!$C$4)</f>
        <v>459</v>
      </c>
      <c r="Q161" s="12" t="str">
        <f aca="false">IF(E161=0,"Out of stock",IF(E161&lt;=F161,"Low stock","OK"))</f>
        <v>OK</v>
      </c>
      <c r="R161" s="12" t="str">
        <f aca="false">IF(J161="","No expiry",IF(P161&lt;0,"Expired",IF(P161&lt;=30,"Expiring &lt;=30 days","OK")))</f>
        <v>OK</v>
      </c>
      <c r="S161" s="12"/>
    </row>
    <row r="162" customFormat="false" ht="15" hidden="false" customHeight="false" outlineLevel="0" collapsed="false">
      <c r="A162" s="12" t="s">
        <v>2861</v>
      </c>
      <c r="B162" s="12" t="s">
        <v>1291</v>
      </c>
      <c r="C162" s="12" t="s">
        <v>2329</v>
      </c>
      <c r="D162" s="12" t="s">
        <v>2330</v>
      </c>
      <c r="E162" s="12" t="n">
        <v>17</v>
      </c>
      <c r="F162" s="12" t="n">
        <v>8</v>
      </c>
      <c r="G162" s="15" t="n">
        <v>11900</v>
      </c>
      <c r="H162" s="15" t="n">
        <v>14500</v>
      </c>
      <c r="I162" s="12" t="s">
        <v>2862</v>
      </c>
      <c r="J162" s="17" t="n">
        <v>46784</v>
      </c>
      <c r="K162" s="12" t="s">
        <v>1111</v>
      </c>
      <c r="L162" s="12" t="n">
        <v>0</v>
      </c>
      <c r="M162" s="15" t="n">
        <f aca="false">E162*G162</f>
        <v>202300</v>
      </c>
      <c r="N162" s="15" t="n">
        <f aca="false">E162*H162</f>
        <v>246500</v>
      </c>
      <c r="O162" s="18" t="n">
        <f aca="false">IF(H162=0,"",(H162-G162)/H162)</f>
        <v>0.179310344827586</v>
      </c>
      <c r="P162" s="12" t="n">
        <f aca="false">IF(J162="","",J162-README!$C$4)</f>
        <v>462</v>
      </c>
      <c r="Q162" s="12" t="str">
        <f aca="false">IF(E162=0,"Out of stock",IF(E162&lt;=F162,"Low stock","OK"))</f>
        <v>OK</v>
      </c>
      <c r="R162" s="12" t="str">
        <f aca="false">IF(J162="","No expiry",IF(P162&lt;0,"Expired",IF(P162&lt;=30,"Expiring &lt;=30 days","OK")))</f>
        <v>OK</v>
      </c>
      <c r="S162" s="12"/>
    </row>
    <row r="163" customFormat="false" ht="15" hidden="false" customHeight="false" outlineLevel="0" collapsed="false">
      <c r="A163" s="12" t="s">
        <v>2863</v>
      </c>
      <c r="B163" s="12" t="s">
        <v>1291</v>
      </c>
      <c r="C163" s="12" t="s">
        <v>2326</v>
      </c>
      <c r="D163" s="12" t="s">
        <v>2327</v>
      </c>
      <c r="E163" s="12" t="n">
        <v>10</v>
      </c>
      <c r="F163" s="12" t="n">
        <v>8</v>
      </c>
      <c r="G163" s="15" t="n">
        <v>6900</v>
      </c>
      <c r="H163" s="15" t="n">
        <v>8200</v>
      </c>
      <c r="I163" s="12" t="s">
        <v>2864</v>
      </c>
      <c r="J163" s="17" t="n">
        <v>46933</v>
      </c>
      <c r="K163" s="12" t="s">
        <v>1120</v>
      </c>
      <c r="L163" s="12" t="n">
        <v>7</v>
      </c>
      <c r="M163" s="15" t="n">
        <f aca="false">E163*G163</f>
        <v>69000</v>
      </c>
      <c r="N163" s="15" t="n">
        <f aca="false">E163*H163</f>
        <v>82000</v>
      </c>
      <c r="O163" s="18" t="n">
        <f aca="false">IF(H163=0,"",(H163-G163)/H163)</f>
        <v>0.158536585365854</v>
      </c>
      <c r="P163" s="12" t="n">
        <f aca="false">IF(J163="","",J163-README!$C$4)</f>
        <v>611</v>
      </c>
      <c r="Q163" s="12" t="str">
        <f aca="false">IF(E163=0,"Out of stock",IF(E163&lt;=F163,"Low stock","OK"))</f>
        <v>OK</v>
      </c>
      <c r="R163" s="12" t="str">
        <f aca="false">IF(J163="","No expiry",IF(P163&lt;0,"Expired",IF(P163&lt;=30,"Expiring &lt;=30 days","OK")))</f>
        <v>OK</v>
      </c>
      <c r="S163" s="12"/>
    </row>
    <row r="164" customFormat="false" ht="15" hidden="false" customHeight="false" outlineLevel="0" collapsed="false">
      <c r="A164" s="12" t="s">
        <v>2865</v>
      </c>
      <c r="B164" s="12" t="s">
        <v>1291</v>
      </c>
      <c r="C164" s="12" t="s">
        <v>2332</v>
      </c>
      <c r="D164" s="12" t="s">
        <v>2333</v>
      </c>
      <c r="E164" s="12" t="n">
        <v>35</v>
      </c>
      <c r="F164" s="12" t="n">
        <v>28</v>
      </c>
      <c r="G164" s="15" t="n">
        <v>4400</v>
      </c>
      <c r="H164" s="15" t="n">
        <v>5200</v>
      </c>
      <c r="I164" s="12" t="s">
        <v>2866</v>
      </c>
      <c r="J164" s="17" t="n">
        <v>46781</v>
      </c>
      <c r="K164" s="12" t="s">
        <v>1120</v>
      </c>
      <c r="L164" s="12" t="n">
        <v>24</v>
      </c>
      <c r="M164" s="15" t="n">
        <f aca="false">E164*G164</f>
        <v>154000</v>
      </c>
      <c r="N164" s="15" t="n">
        <f aca="false">E164*H164</f>
        <v>182000</v>
      </c>
      <c r="O164" s="18" t="n">
        <f aca="false">IF(H164=0,"",(H164-G164)/H164)</f>
        <v>0.153846153846154</v>
      </c>
      <c r="P164" s="12" t="n">
        <f aca="false">IF(J164="","",J164-README!$C$4)</f>
        <v>459</v>
      </c>
      <c r="Q164" s="12" t="str">
        <f aca="false">IF(E164=0,"Out of stock",IF(E164&lt;=F164,"Low stock","OK"))</f>
        <v>OK</v>
      </c>
      <c r="R164" s="12" t="str">
        <f aca="false">IF(J164="","No expiry",IF(P164&lt;0,"Expired",IF(P164&lt;=30,"Expiring &lt;=30 days","OK")))</f>
        <v>OK</v>
      </c>
      <c r="S164" s="12"/>
    </row>
    <row r="165" customFormat="false" ht="15" hidden="false" customHeight="false" outlineLevel="0" collapsed="false">
      <c r="A165" s="12" t="s">
        <v>2867</v>
      </c>
      <c r="B165" s="12" t="s">
        <v>1291</v>
      </c>
      <c r="C165" s="12" t="s">
        <v>2335</v>
      </c>
      <c r="D165" s="12" t="s">
        <v>2336</v>
      </c>
      <c r="E165" s="12" t="n">
        <v>5</v>
      </c>
      <c r="F165" s="12" t="n">
        <v>3</v>
      </c>
      <c r="G165" s="15" t="n">
        <v>33800</v>
      </c>
      <c r="H165" s="15" t="n">
        <v>39000</v>
      </c>
      <c r="I165" s="12" t="s">
        <v>2868</v>
      </c>
      <c r="J165" s="17" t="n">
        <v>46741</v>
      </c>
      <c r="K165" s="12" t="s">
        <v>1120</v>
      </c>
      <c r="L165" s="12" t="n">
        <v>3</v>
      </c>
      <c r="M165" s="15" t="n">
        <f aca="false">E165*G165</f>
        <v>169000</v>
      </c>
      <c r="N165" s="15" t="n">
        <f aca="false">E165*H165</f>
        <v>195000</v>
      </c>
      <c r="O165" s="18" t="n">
        <f aca="false">IF(H165=0,"",(H165-G165)/H165)</f>
        <v>0.133333333333333</v>
      </c>
      <c r="P165" s="12" t="n">
        <f aca="false">IF(J165="","",J165-README!$C$4)</f>
        <v>419</v>
      </c>
      <c r="Q165" s="12" t="str">
        <f aca="false">IF(E165=0,"Out of stock",IF(E165&lt;=F165,"Low stock","OK"))</f>
        <v>OK</v>
      </c>
      <c r="R165" s="12" t="str">
        <f aca="false">IF(J165="","No expiry",IF(P165&lt;0,"Expired",IF(P165&lt;=30,"Expiring &lt;=30 days","OK")))</f>
        <v>OK</v>
      </c>
      <c r="S165" s="12"/>
    </row>
    <row r="166" customFormat="false" ht="15" hidden="false" customHeight="false" outlineLevel="0" collapsed="false">
      <c r="A166" s="12" t="s">
        <v>2869</v>
      </c>
      <c r="B166" s="12" t="s">
        <v>1291</v>
      </c>
      <c r="C166" s="12" t="s">
        <v>2338</v>
      </c>
      <c r="D166" s="12" t="s">
        <v>2339</v>
      </c>
      <c r="E166" s="12" t="n">
        <v>24</v>
      </c>
      <c r="F166" s="12" t="n">
        <v>8</v>
      </c>
      <c r="G166" s="15" t="n">
        <v>11100</v>
      </c>
      <c r="H166" s="15" t="n">
        <v>12500</v>
      </c>
      <c r="I166" s="12" t="s">
        <v>2870</v>
      </c>
      <c r="J166" s="17" t="n">
        <v>46706</v>
      </c>
      <c r="K166" s="12" t="s">
        <v>1120</v>
      </c>
      <c r="L166" s="12" t="n">
        <v>16</v>
      </c>
      <c r="M166" s="15" t="n">
        <f aca="false">E166*G166</f>
        <v>266400</v>
      </c>
      <c r="N166" s="15" t="n">
        <f aca="false">E166*H166</f>
        <v>300000</v>
      </c>
      <c r="O166" s="18" t="n">
        <f aca="false">IF(H166=0,"",(H166-G166)/H166)</f>
        <v>0.112</v>
      </c>
      <c r="P166" s="12" t="n">
        <f aca="false">IF(J166="","",J166-README!$C$4)</f>
        <v>384</v>
      </c>
      <c r="Q166" s="12" t="str">
        <f aca="false">IF(E166=0,"Out of stock",IF(E166&lt;=F166,"Low stock","OK"))</f>
        <v>OK</v>
      </c>
      <c r="R166" s="12" t="str">
        <f aca="false">IF(J166="","No expiry",IF(P166&lt;0,"Expired",IF(P166&lt;=30,"Expiring &lt;=30 days","OK")))</f>
        <v>OK</v>
      </c>
      <c r="S166" s="12"/>
    </row>
    <row r="167" customFormat="false" ht="15" hidden="false" customHeight="false" outlineLevel="0" collapsed="false">
      <c r="A167" s="12" t="s">
        <v>2871</v>
      </c>
      <c r="B167" s="12" t="s">
        <v>1291</v>
      </c>
      <c r="C167" s="12" t="s">
        <v>2341</v>
      </c>
      <c r="D167" s="12" t="s">
        <v>2342</v>
      </c>
      <c r="E167" s="12" t="n">
        <v>16</v>
      </c>
      <c r="F167" s="12" t="n">
        <v>8</v>
      </c>
      <c r="G167" s="15" t="n">
        <v>74700</v>
      </c>
      <c r="H167" s="15" t="n">
        <v>87500</v>
      </c>
      <c r="I167" s="12" t="s">
        <v>2872</v>
      </c>
      <c r="J167" s="17" t="n">
        <v>46666</v>
      </c>
      <c r="K167" s="12" t="s">
        <v>1120</v>
      </c>
      <c r="L167" s="12" t="n">
        <v>11</v>
      </c>
      <c r="M167" s="15" t="n">
        <f aca="false">E167*G167</f>
        <v>1195200</v>
      </c>
      <c r="N167" s="15" t="n">
        <f aca="false">E167*H167</f>
        <v>1400000</v>
      </c>
      <c r="O167" s="18" t="n">
        <f aca="false">IF(H167=0,"",(H167-G167)/H167)</f>
        <v>0.146285714285714</v>
      </c>
      <c r="P167" s="12" t="n">
        <f aca="false">IF(J167="","",J167-README!$C$4)</f>
        <v>344</v>
      </c>
      <c r="Q167" s="12" t="str">
        <f aca="false">IF(E167=0,"Out of stock",IF(E167&lt;=F167,"Low stock","OK"))</f>
        <v>OK</v>
      </c>
      <c r="R167" s="12" t="str">
        <f aca="false">IF(J167="","No expiry",IF(P167&lt;0,"Expired",IF(P167&lt;=30,"Expiring &lt;=30 days","OK")))</f>
        <v>OK</v>
      </c>
      <c r="S167" s="12"/>
    </row>
    <row r="168" customFormat="false" ht="15" hidden="false" customHeight="false" outlineLevel="0" collapsed="false">
      <c r="A168" s="12" t="s">
        <v>2873</v>
      </c>
      <c r="B168" s="12" t="s">
        <v>1291</v>
      </c>
      <c r="C168" s="12" t="s">
        <v>2348</v>
      </c>
      <c r="D168" s="12" t="s">
        <v>2349</v>
      </c>
      <c r="E168" s="12" t="n">
        <v>25</v>
      </c>
      <c r="F168" s="12" t="n">
        <v>8</v>
      </c>
      <c r="G168" s="15" t="n">
        <v>27300</v>
      </c>
      <c r="H168" s="15" t="n">
        <v>31000</v>
      </c>
      <c r="I168" s="12" t="s">
        <v>2874</v>
      </c>
      <c r="J168" s="17" t="n">
        <v>47089</v>
      </c>
      <c r="K168" s="12" t="s">
        <v>1120</v>
      </c>
      <c r="L168" s="12" t="n">
        <v>17</v>
      </c>
      <c r="M168" s="15" t="n">
        <f aca="false">E168*G168</f>
        <v>682500</v>
      </c>
      <c r="N168" s="15" t="n">
        <f aca="false">E168*H168</f>
        <v>775000</v>
      </c>
      <c r="O168" s="18" t="n">
        <f aca="false">IF(H168=0,"",(H168-G168)/H168)</f>
        <v>0.119354838709677</v>
      </c>
      <c r="P168" s="12" t="n">
        <f aca="false">IF(J168="","",J168-README!$C$4)</f>
        <v>767</v>
      </c>
      <c r="Q168" s="12" t="str">
        <f aca="false">IF(E168=0,"Out of stock",IF(E168&lt;=F168,"Low stock","OK"))</f>
        <v>OK</v>
      </c>
      <c r="R168" s="12" t="str">
        <f aca="false">IF(J168="","No expiry",IF(P168&lt;0,"Expired",IF(P168&lt;=30,"Expiring &lt;=30 days","OK")))</f>
        <v>OK</v>
      </c>
      <c r="S168" s="12"/>
    </row>
    <row r="169" customFormat="false" ht="15" hidden="false" customHeight="false" outlineLevel="0" collapsed="false">
      <c r="A169" s="12" t="s">
        <v>2875</v>
      </c>
      <c r="B169" s="12" t="s">
        <v>1291</v>
      </c>
      <c r="C169" s="12" t="s">
        <v>2344</v>
      </c>
      <c r="D169" s="12" t="s">
        <v>2346</v>
      </c>
      <c r="E169" s="12" t="n">
        <v>12</v>
      </c>
      <c r="F169" s="12" t="n">
        <v>8</v>
      </c>
      <c r="G169" s="15" t="n">
        <v>8100</v>
      </c>
      <c r="H169" s="15" t="n">
        <v>9300</v>
      </c>
      <c r="I169" s="12" t="s">
        <v>2876</v>
      </c>
      <c r="J169" s="17" t="n">
        <v>46798</v>
      </c>
      <c r="K169" s="12" t="s">
        <v>1120</v>
      </c>
      <c r="L169" s="12" t="n">
        <v>8</v>
      </c>
      <c r="M169" s="15" t="n">
        <f aca="false">E169*G169</f>
        <v>97200</v>
      </c>
      <c r="N169" s="15" t="n">
        <f aca="false">E169*H169</f>
        <v>111600</v>
      </c>
      <c r="O169" s="18" t="n">
        <f aca="false">IF(H169=0,"",(H169-G169)/H169)</f>
        <v>0.129032258064516</v>
      </c>
      <c r="P169" s="12" t="n">
        <f aca="false">IF(J169="","",J169-README!$C$4)</f>
        <v>476</v>
      </c>
      <c r="Q169" s="12" t="str">
        <f aca="false">IF(E169=0,"Out of stock",IF(E169&lt;=F169,"Low stock","OK"))</f>
        <v>OK</v>
      </c>
      <c r="R169" s="12" t="str">
        <f aca="false">IF(J169="","No expiry",IF(P169&lt;0,"Expired",IF(P169&lt;=30,"Expiring &lt;=30 days","OK")))</f>
        <v>OK</v>
      </c>
      <c r="S169" s="12"/>
    </row>
    <row r="170" customFormat="false" ht="15" hidden="false" customHeight="false" outlineLevel="0" collapsed="false">
      <c r="A170" s="12" t="s">
        <v>2877</v>
      </c>
      <c r="B170" s="12" t="s">
        <v>1291</v>
      </c>
      <c r="C170" s="12" t="s">
        <v>2351</v>
      </c>
      <c r="D170" s="12" t="s">
        <v>2352</v>
      </c>
      <c r="E170" s="12" t="n">
        <v>30</v>
      </c>
      <c r="F170" s="12" t="n">
        <v>8</v>
      </c>
      <c r="G170" s="15" t="n">
        <v>19700</v>
      </c>
      <c r="H170" s="15" t="n">
        <v>22500</v>
      </c>
      <c r="I170" s="12" t="s">
        <v>2878</v>
      </c>
      <c r="J170" s="17" t="n">
        <v>46763</v>
      </c>
      <c r="K170" s="12" t="s">
        <v>1120</v>
      </c>
      <c r="L170" s="12" t="n">
        <v>21</v>
      </c>
      <c r="M170" s="15" t="n">
        <f aca="false">E170*G170</f>
        <v>591000</v>
      </c>
      <c r="N170" s="15" t="n">
        <f aca="false">E170*H170</f>
        <v>675000</v>
      </c>
      <c r="O170" s="18" t="n">
        <f aca="false">IF(H170=0,"",(H170-G170)/H170)</f>
        <v>0.124444444444444</v>
      </c>
      <c r="P170" s="12" t="n">
        <f aca="false">IF(J170="","",J170-README!$C$4)</f>
        <v>441</v>
      </c>
      <c r="Q170" s="12" t="str">
        <f aca="false">IF(E170=0,"Out of stock",IF(E170&lt;=F170,"Low stock","OK"))</f>
        <v>OK</v>
      </c>
      <c r="R170" s="12" t="str">
        <f aca="false">IF(J170="","No expiry",IF(P170&lt;0,"Expired",IF(P170&lt;=30,"Expiring &lt;=30 days","OK")))</f>
        <v>OK</v>
      </c>
      <c r="S170" s="12"/>
    </row>
    <row r="171" customFormat="false" ht="15" hidden="false" customHeight="false" outlineLevel="0" collapsed="false">
      <c r="A171" s="12" t="s">
        <v>2879</v>
      </c>
      <c r="B171" s="12" t="s">
        <v>1291</v>
      </c>
      <c r="C171" s="12" t="s">
        <v>2354</v>
      </c>
      <c r="D171" s="12" t="s">
        <v>2355</v>
      </c>
      <c r="E171" s="12" t="n">
        <v>17</v>
      </c>
      <c r="F171" s="12" t="n">
        <v>8</v>
      </c>
      <c r="G171" s="15" t="n">
        <v>6000</v>
      </c>
      <c r="H171" s="15" t="n">
        <v>7200</v>
      </c>
      <c r="I171" s="12" t="s">
        <v>2880</v>
      </c>
      <c r="J171" s="17" t="n">
        <v>46892</v>
      </c>
      <c r="K171" s="12" t="s">
        <v>1120</v>
      </c>
      <c r="L171" s="12" t="n">
        <v>11</v>
      </c>
      <c r="M171" s="15" t="n">
        <f aca="false">E171*G171</f>
        <v>102000</v>
      </c>
      <c r="N171" s="15" t="n">
        <f aca="false">E171*H171</f>
        <v>122400</v>
      </c>
      <c r="O171" s="18" t="n">
        <f aca="false">IF(H171=0,"",(H171-G171)/H171)</f>
        <v>0.166666666666667</v>
      </c>
      <c r="P171" s="12" t="n">
        <f aca="false">IF(J171="","",J171-README!$C$4)</f>
        <v>570</v>
      </c>
      <c r="Q171" s="12" t="str">
        <f aca="false">IF(E171=0,"Out of stock",IF(E171&lt;=F171,"Low stock","OK"))</f>
        <v>OK</v>
      </c>
      <c r="R171" s="12" t="str">
        <f aca="false">IF(J171="","No expiry",IF(P171&lt;0,"Expired",IF(P171&lt;=30,"Expiring &lt;=30 days","OK")))</f>
        <v>OK</v>
      </c>
      <c r="S171" s="12"/>
    </row>
    <row r="172" customFormat="false" ht="15" hidden="false" customHeight="false" outlineLevel="0" collapsed="false">
      <c r="A172" s="12" t="s">
        <v>2881</v>
      </c>
      <c r="B172" s="12" t="s">
        <v>1291</v>
      </c>
      <c r="C172" s="12" t="s">
        <v>2357</v>
      </c>
      <c r="D172" s="12" t="s">
        <v>2359</v>
      </c>
      <c r="E172" s="12" t="n">
        <v>15</v>
      </c>
      <c r="F172" s="12" t="n">
        <v>8</v>
      </c>
      <c r="G172" s="15" t="n">
        <v>11500</v>
      </c>
      <c r="H172" s="15" t="n">
        <v>13500</v>
      </c>
      <c r="I172" s="12" t="s">
        <v>2882</v>
      </c>
      <c r="J172" s="17" t="n">
        <v>46893</v>
      </c>
      <c r="K172" s="12" t="s">
        <v>1111</v>
      </c>
      <c r="L172" s="12" t="n">
        <v>0</v>
      </c>
      <c r="M172" s="15" t="n">
        <f aca="false">E172*G172</f>
        <v>172500</v>
      </c>
      <c r="N172" s="15" t="n">
        <f aca="false">E172*H172</f>
        <v>202500</v>
      </c>
      <c r="O172" s="18" t="n">
        <f aca="false">IF(H172=0,"",(H172-G172)/H172)</f>
        <v>0.148148148148148</v>
      </c>
      <c r="P172" s="12" t="n">
        <f aca="false">IF(J172="","",J172-README!$C$4)</f>
        <v>571</v>
      </c>
      <c r="Q172" s="12" t="str">
        <f aca="false">IF(E172=0,"Out of stock",IF(E172&lt;=F172,"Low stock","OK"))</f>
        <v>OK</v>
      </c>
      <c r="R172" s="12" t="str">
        <f aca="false">IF(J172="","No expiry",IF(P172&lt;0,"Expired",IF(P172&lt;=30,"Expiring &lt;=30 days","OK")))</f>
        <v>OK</v>
      </c>
      <c r="S172" s="12"/>
    </row>
    <row r="173" customFormat="false" ht="15" hidden="false" customHeight="false" outlineLevel="0" collapsed="false">
      <c r="A173" s="12" t="s">
        <v>2883</v>
      </c>
      <c r="B173" s="12" t="s">
        <v>1291</v>
      </c>
      <c r="C173" s="12" t="s">
        <v>2361</v>
      </c>
      <c r="D173" s="12" t="s">
        <v>2363</v>
      </c>
      <c r="E173" s="12" t="n">
        <v>15</v>
      </c>
      <c r="F173" s="12" t="n">
        <v>8</v>
      </c>
      <c r="G173" s="15" t="n">
        <v>13700</v>
      </c>
      <c r="H173" s="15" t="n">
        <v>15500</v>
      </c>
      <c r="I173" s="12" t="s">
        <v>2884</v>
      </c>
      <c r="J173" s="17" t="n">
        <v>46767</v>
      </c>
      <c r="K173" s="12" t="s">
        <v>1120</v>
      </c>
      <c r="L173" s="12" t="n">
        <v>10</v>
      </c>
      <c r="M173" s="15" t="n">
        <f aca="false">E173*G173</f>
        <v>205500</v>
      </c>
      <c r="N173" s="15" t="n">
        <f aca="false">E173*H173</f>
        <v>232500</v>
      </c>
      <c r="O173" s="18" t="n">
        <f aca="false">IF(H173=0,"",(H173-G173)/H173)</f>
        <v>0.116129032258065</v>
      </c>
      <c r="P173" s="12" t="n">
        <f aca="false">IF(J173="","",J173-README!$C$4)</f>
        <v>445</v>
      </c>
      <c r="Q173" s="12" t="str">
        <f aca="false">IF(E173=0,"Out of stock",IF(E173&lt;=F173,"Low stock","OK"))</f>
        <v>OK</v>
      </c>
      <c r="R173" s="12" t="str">
        <f aca="false">IF(J173="","No expiry",IF(P173&lt;0,"Expired",IF(P173&lt;=30,"Expiring &lt;=30 days","OK")))</f>
        <v>OK</v>
      </c>
      <c r="S173" s="12"/>
    </row>
    <row r="174" customFormat="false" ht="15" hidden="false" customHeight="false" outlineLevel="0" collapsed="false">
      <c r="A174" s="12" t="s">
        <v>2885</v>
      </c>
      <c r="B174" s="12" t="s">
        <v>1291</v>
      </c>
      <c r="C174" s="12" t="s">
        <v>2373</v>
      </c>
      <c r="D174" s="12" t="s">
        <v>2375</v>
      </c>
      <c r="E174" s="12" t="n">
        <v>8</v>
      </c>
      <c r="F174" s="12" t="n">
        <v>6</v>
      </c>
      <c r="G174" s="15" t="n">
        <v>18900</v>
      </c>
      <c r="H174" s="15" t="n">
        <v>22500</v>
      </c>
      <c r="I174" s="12" t="s">
        <v>2886</v>
      </c>
      <c r="J174" s="17" t="n">
        <v>46382</v>
      </c>
      <c r="K174" s="12" t="s">
        <v>1120</v>
      </c>
      <c r="L174" s="12" t="n">
        <v>5</v>
      </c>
      <c r="M174" s="15" t="n">
        <f aca="false">E174*G174</f>
        <v>151200</v>
      </c>
      <c r="N174" s="15" t="n">
        <f aca="false">E174*H174</f>
        <v>180000</v>
      </c>
      <c r="O174" s="18" t="n">
        <f aca="false">IF(H174=0,"",(H174-G174)/H174)</f>
        <v>0.16</v>
      </c>
      <c r="P174" s="12" t="n">
        <f aca="false">IF(J174="","",J174-README!$C$4)</f>
        <v>60</v>
      </c>
      <c r="Q174" s="12" t="str">
        <f aca="false">IF(E174=0,"Out of stock",IF(E174&lt;=F174,"Low stock","OK"))</f>
        <v>OK</v>
      </c>
      <c r="R174" s="12" t="str">
        <f aca="false">IF(J174="","No expiry",IF(P174&lt;0,"Expired",IF(P174&lt;=30,"Expiring &lt;=30 days","OK")))</f>
        <v>OK</v>
      </c>
      <c r="S174" s="12"/>
    </row>
    <row r="175" customFormat="false" ht="15" hidden="false" customHeight="false" outlineLevel="0" collapsed="false">
      <c r="A175" s="12" t="s">
        <v>2887</v>
      </c>
      <c r="B175" s="12" t="s">
        <v>1291</v>
      </c>
      <c r="C175" s="12" t="s">
        <v>2365</v>
      </c>
      <c r="D175" s="12" t="s">
        <v>2367</v>
      </c>
      <c r="E175" s="12" t="n">
        <v>16</v>
      </c>
      <c r="F175" s="12" t="n">
        <v>6</v>
      </c>
      <c r="G175" s="15" t="n">
        <v>3600</v>
      </c>
      <c r="H175" s="15" t="n">
        <v>4100</v>
      </c>
      <c r="I175" s="12" t="s">
        <v>2888</v>
      </c>
      <c r="J175" s="17" t="n">
        <v>46520</v>
      </c>
      <c r="K175" s="12" t="s">
        <v>1120</v>
      </c>
      <c r="L175" s="12" t="n">
        <v>11</v>
      </c>
      <c r="M175" s="15" t="n">
        <f aca="false">E175*G175</f>
        <v>57600</v>
      </c>
      <c r="N175" s="15" t="n">
        <f aca="false">E175*H175</f>
        <v>65600</v>
      </c>
      <c r="O175" s="18" t="n">
        <f aca="false">IF(H175=0,"",(H175-G175)/H175)</f>
        <v>0.121951219512195</v>
      </c>
      <c r="P175" s="12" t="n">
        <f aca="false">IF(J175="","",J175-README!$C$4)</f>
        <v>198</v>
      </c>
      <c r="Q175" s="12" t="str">
        <f aca="false">IF(E175=0,"Out of stock",IF(E175&lt;=F175,"Low stock","OK"))</f>
        <v>OK</v>
      </c>
      <c r="R175" s="12" t="str">
        <f aca="false">IF(J175="","No expiry",IF(P175&lt;0,"Expired",IF(P175&lt;=30,"Expiring &lt;=30 days","OK")))</f>
        <v>OK</v>
      </c>
      <c r="S175" s="12"/>
    </row>
    <row r="176" customFormat="false" ht="15" hidden="false" customHeight="false" outlineLevel="0" collapsed="false">
      <c r="A176" s="12" t="s">
        <v>2889</v>
      </c>
      <c r="B176" s="12" t="s">
        <v>1291</v>
      </c>
      <c r="C176" s="12" t="s">
        <v>2369</v>
      </c>
      <c r="D176" s="12" t="s">
        <v>2371</v>
      </c>
      <c r="E176" s="12" t="n">
        <v>13</v>
      </c>
      <c r="F176" s="12" t="n">
        <v>6</v>
      </c>
      <c r="G176" s="15" t="n">
        <v>12100</v>
      </c>
      <c r="H176" s="15" t="n">
        <v>13500</v>
      </c>
      <c r="I176" s="12" t="s">
        <v>2890</v>
      </c>
      <c r="J176" s="17" t="n">
        <v>46431</v>
      </c>
      <c r="K176" s="12" t="s">
        <v>1120</v>
      </c>
      <c r="L176" s="12" t="n">
        <v>9</v>
      </c>
      <c r="M176" s="15" t="n">
        <f aca="false">E176*G176</f>
        <v>157300</v>
      </c>
      <c r="N176" s="15" t="n">
        <f aca="false">E176*H176</f>
        <v>175500</v>
      </c>
      <c r="O176" s="18" t="n">
        <f aca="false">IF(H176=0,"",(H176-G176)/H176)</f>
        <v>0.103703703703704</v>
      </c>
      <c r="P176" s="12" t="n">
        <f aca="false">IF(J176="","",J176-README!$C$4)</f>
        <v>109</v>
      </c>
      <c r="Q176" s="12" t="str">
        <f aca="false">IF(E176=0,"Out of stock",IF(E176&lt;=F176,"Low stock","OK"))</f>
        <v>OK</v>
      </c>
      <c r="R176" s="12" t="str">
        <f aca="false">IF(J176="","No expiry",IF(P176&lt;0,"Expired",IF(P176&lt;=30,"Expiring &lt;=30 days","OK")))</f>
        <v>OK</v>
      </c>
      <c r="S176" s="12"/>
    </row>
    <row r="177" customFormat="false" ht="15" hidden="false" customHeight="false" outlineLevel="0" collapsed="false">
      <c r="A177" s="12" t="s">
        <v>2891</v>
      </c>
      <c r="B177" s="12" t="s">
        <v>1291</v>
      </c>
      <c r="C177" s="12" t="s">
        <v>2377</v>
      </c>
      <c r="D177" s="12" t="s">
        <v>2378</v>
      </c>
      <c r="E177" s="12" t="n">
        <v>10</v>
      </c>
      <c r="F177" s="12" t="n">
        <v>6</v>
      </c>
      <c r="G177" s="15" t="n">
        <v>2500</v>
      </c>
      <c r="H177" s="15" t="n">
        <v>3100</v>
      </c>
      <c r="I177" s="12" t="s">
        <v>2892</v>
      </c>
      <c r="J177" s="17" t="n">
        <v>46482</v>
      </c>
      <c r="K177" s="12" t="s">
        <v>1120</v>
      </c>
      <c r="L177" s="12" t="n">
        <v>7</v>
      </c>
      <c r="M177" s="15" t="n">
        <f aca="false">E177*G177</f>
        <v>25000</v>
      </c>
      <c r="N177" s="15" t="n">
        <f aca="false">E177*H177</f>
        <v>31000</v>
      </c>
      <c r="O177" s="18" t="n">
        <f aca="false">IF(H177=0,"",(H177-G177)/H177)</f>
        <v>0.193548387096774</v>
      </c>
      <c r="P177" s="12" t="n">
        <f aca="false">IF(J177="","",J177-README!$C$4)</f>
        <v>160</v>
      </c>
      <c r="Q177" s="12" t="str">
        <f aca="false">IF(E177=0,"Out of stock",IF(E177&lt;=F177,"Low stock","OK"))</f>
        <v>OK</v>
      </c>
      <c r="R177" s="12" t="str">
        <f aca="false">IF(J177="","No expiry",IF(P177&lt;0,"Expired",IF(P177&lt;=30,"Expiring &lt;=30 days","OK")))</f>
        <v>OK</v>
      </c>
      <c r="S177" s="12"/>
    </row>
    <row r="178" customFormat="false" ht="15" hidden="false" customHeight="false" outlineLevel="0" collapsed="false">
      <c r="A178" s="12" t="s">
        <v>2893</v>
      </c>
      <c r="B178" s="12" t="s">
        <v>1291</v>
      </c>
      <c r="C178" s="12" t="s">
        <v>2387</v>
      </c>
      <c r="D178" s="12" t="s">
        <v>2388</v>
      </c>
      <c r="E178" s="12" t="n">
        <v>15</v>
      </c>
      <c r="F178" s="12" t="n">
        <v>6</v>
      </c>
      <c r="G178" s="15" t="n">
        <v>22400</v>
      </c>
      <c r="H178" s="15" t="n">
        <v>26000</v>
      </c>
      <c r="I178" s="12" t="s">
        <v>2894</v>
      </c>
      <c r="J178" s="17" t="n">
        <v>46519</v>
      </c>
      <c r="K178" s="12" t="s">
        <v>1120</v>
      </c>
      <c r="L178" s="12" t="n">
        <v>10</v>
      </c>
      <c r="M178" s="15" t="n">
        <f aca="false">E178*G178</f>
        <v>336000</v>
      </c>
      <c r="N178" s="15" t="n">
        <f aca="false">E178*H178</f>
        <v>390000</v>
      </c>
      <c r="O178" s="18" t="n">
        <f aca="false">IF(H178=0,"",(H178-G178)/H178)</f>
        <v>0.138461538461538</v>
      </c>
      <c r="P178" s="12" t="n">
        <f aca="false">IF(J178="","",J178-README!$C$4)</f>
        <v>197</v>
      </c>
      <c r="Q178" s="12" t="str">
        <f aca="false">IF(E178=0,"Out of stock",IF(E178&lt;=F178,"Low stock","OK"))</f>
        <v>OK</v>
      </c>
      <c r="R178" s="12" t="str">
        <f aca="false">IF(J178="","No expiry",IF(P178&lt;0,"Expired",IF(P178&lt;=30,"Expiring &lt;=30 days","OK")))</f>
        <v>OK</v>
      </c>
      <c r="S178" s="12"/>
    </row>
    <row r="179" customFormat="false" ht="15" hidden="false" customHeight="false" outlineLevel="0" collapsed="false">
      <c r="A179" s="12" t="s">
        <v>2895</v>
      </c>
      <c r="B179" s="12" t="s">
        <v>1291</v>
      </c>
      <c r="C179" s="12" t="s">
        <v>2384</v>
      </c>
      <c r="D179" s="12" t="s">
        <v>2385</v>
      </c>
      <c r="E179" s="12" t="n">
        <v>2</v>
      </c>
      <c r="F179" s="12" t="n">
        <v>5</v>
      </c>
      <c r="G179" s="15" t="n">
        <v>12300</v>
      </c>
      <c r="H179" s="15" t="n">
        <v>14500</v>
      </c>
      <c r="I179" s="12" t="s">
        <v>2896</v>
      </c>
      <c r="J179" s="17" t="n">
        <v>46468</v>
      </c>
      <c r="K179" s="12" t="s">
        <v>1120</v>
      </c>
      <c r="L179" s="12" t="n">
        <v>1</v>
      </c>
      <c r="M179" s="15" t="n">
        <f aca="false">E179*G179</f>
        <v>24600</v>
      </c>
      <c r="N179" s="15" t="n">
        <f aca="false">E179*H179</f>
        <v>29000</v>
      </c>
      <c r="O179" s="18" t="n">
        <f aca="false">IF(H179=0,"",(H179-G179)/H179)</f>
        <v>0.151724137931034</v>
      </c>
      <c r="P179" s="12" t="n">
        <f aca="false">IF(J179="","",J179-README!$C$4)</f>
        <v>146</v>
      </c>
      <c r="Q179" s="12" t="str">
        <f aca="false">IF(E179=0,"Out of stock",IF(E179&lt;=F179,"Low stock","OK"))</f>
        <v>Low stock</v>
      </c>
      <c r="R179" s="12" t="str">
        <f aca="false">IF(J179="","No expiry",IF(P179&lt;0,"Expired",IF(P179&lt;=30,"Expiring &lt;=30 days","OK")))</f>
        <v>OK</v>
      </c>
      <c r="S179" s="19" t="s">
        <v>2897</v>
      </c>
    </row>
    <row r="180" customFormat="false" ht="15" hidden="false" customHeight="false" outlineLevel="0" collapsed="false">
      <c r="A180" s="12" t="s">
        <v>2898</v>
      </c>
      <c r="B180" s="12" t="s">
        <v>1291</v>
      </c>
      <c r="C180" s="12" t="s">
        <v>2393</v>
      </c>
      <c r="D180" s="12" t="s">
        <v>2394</v>
      </c>
      <c r="E180" s="12" t="n">
        <v>13</v>
      </c>
      <c r="F180" s="12" t="n">
        <v>6</v>
      </c>
      <c r="G180" s="15" t="n">
        <v>22800</v>
      </c>
      <c r="H180" s="15" t="n">
        <v>26000</v>
      </c>
      <c r="I180" s="12" t="s">
        <v>2899</v>
      </c>
      <c r="J180" s="17" t="n">
        <v>46569</v>
      </c>
      <c r="K180" s="12" t="s">
        <v>1120</v>
      </c>
      <c r="L180" s="12" t="n">
        <v>9</v>
      </c>
      <c r="M180" s="15" t="n">
        <f aca="false">E180*G180</f>
        <v>296400</v>
      </c>
      <c r="N180" s="15" t="n">
        <f aca="false">E180*H180</f>
        <v>338000</v>
      </c>
      <c r="O180" s="18" t="n">
        <f aca="false">IF(H180=0,"",(H180-G180)/H180)</f>
        <v>0.123076923076923</v>
      </c>
      <c r="P180" s="12" t="n">
        <f aca="false">IF(J180="","",J180-README!$C$4)</f>
        <v>247</v>
      </c>
      <c r="Q180" s="12" t="str">
        <f aca="false">IF(E180=0,"Out of stock",IF(E180&lt;=F180,"Low stock","OK"))</f>
        <v>OK</v>
      </c>
      <c r="R180" s="12" t="str">
        <f aca="false">IF(J180="","No expiry",IF(P180&lt;0,"Expired",IF(P180&lt;=30,"Expiring &lt;=30 days","OK")))</f>
        <v>OK</v>
      </c>
      <c r="S180" s="12"/>
    </row>
    <row r="181" customFormat="false" ht="15" hidden="false" customHeight="false" outlineLevel="0" collapsed="false">
      <c r="A181" s="12" t="s">
        <v>2900</v>
      </c>
      <c r="B181" s="12" t="s">
        <v>1291</v>
      </c>
      <c r="C181" s="12" t="s">
        <v>2390</v>
      </c>
      <c r="D181" s="12" t="s">
        <v>2391</v>
      </c>
      <c r="E181" s="12" t="n">
        <v>13</v>
      </c>
      <c r="F181" s="12" t="n">
        <v>6</v>
      </c>
      <c r="G181" s="15" t="n">
        <v>4400</v>
      </c>
      <c r="H181" s="15" t="n">
        <v>5200</v>
      </c>
      <c r="I181" s="12" t="s">
        <v>2901</v>
      </c>
      <c r="J181" s="17" t="n">
        <v>46609</v>
      </c>
      <c r="K181" s="12" t="s">
        <v>1120</v>
      </c>
      <c r="L181" s="12" t="n">
        <v>9</v>
      </c>
      <c r="M181" s="15" t="n">
        <f aca="false">E181*G181</f>
        <v>57200</v>
      </c>
      <c r="N181" s="15" t="n">
        <f aca="false">E181*H181</f>
        <v>67600</v>
      </c>
      <c r="O181" s="18" t="n">
        <f aca="false">IF(H181=0,"",(H181-G181)/H181)</f>
        <v>0.153846153846154</v>
      </c>
      <c r="P181" s="12" t="n">
        <f aca="false">IF(J181="","",J181-README!$C$4)</f>
        <v>287</v>
      </c>
      <c r="Q181" s="12" t="str">
        <f aca="false">IF(E181=0,"Out of stock",IF(E181&lt;=F181,"Low stock","OK"))</f>
        <v>OK</v>
      </c>
      <c r="R181" s="12" t="str">
        <f aca="false">IF(J181="","No expiry",IF(P181&lt;0,"Expired",IF(P181&lt;=30,"Expiring &lt;=30 days","OK")))</f>
        <v>OK</v>
      </c>
      <c r="S181" s="12"/>
    </row>
    <row r="182" customFormat="false" ht="15" hidden="false" customHeight="false" outlineLevel="0" collapsed="false">
      <c r="A182" s="12" t="s">
        <v>2902</v>
      </c>
      <c r="B182" s="12" t="s">
        <v>1291</v>
      </c>
      <c r="C182" s="12" t="s">
        <v>2396</v>
      </c>
      <c r="D182" s="12" t="s">
        <v>2397</v>
      </c>
      <c r="E182" s="12" t="n">
        <v>14</v>
      </c>
      <c r="F182" s="12" t="n">
        <v>6</v>
      </c>
      <c r="G182" s="15" t="n">
        <v>38800</v>
      </c>
      <c r="H182" s="15" t="n">
        <v>46500</v>
      </c>
      <c r="I182" s="12" t="s">
        <v>2903</v>
      </c>
      <c r="J182" s="17" t="n">
        <v>46505</v>
      </c>
      <c r="K182" s="12" t="s">
        <v>1120</v>
      </c>
      <c r="L182" s="12" t="n">
        <v>9</v>
      </c>
      <c r="M182" s="15" t="n">
        <f aca="false">E182*G182</f>
        <v>543200</v>
      </c>
      <c r="N182" s="15" t="n">
        <f aca="false">E182*H182</f>
        <v>651000</v>
      </c>
      <c r="O182" s="18" t="n">
        <f aca="false">IF(H182=0,"",(H182-G182)/H182)</f>
        <v>0.165591397849462</v>
      </c>
      <c r="P182" s="12" t="n">
        <f aca="false">IF(J182="","",J182-README!$C$4)</f>
        <v>183</v>
      </c>
      <c r="Q182" s="12" t="str">
        <f aca="false">IF(E182=0,"Out of stock",IF(E182&lt;=F182,"Low stock","OK"))</f>
        <v>OK</v>
      </c>
      <c r="R182" s="12" t="str">
        <f aca="false">IF(J182="","No expiry",IF(P182&lt;0,"Expired",IF(P182&lt;=30,"Expiring &lt;=30 days","OK")))</f>
        <v>OK</v>
      </c>
      <c r="S182" s="12"/>
    </row>
    <row r="183" customFormat="false" ht="15" hidden="false" customHeight="false" outlineLevel="0" collapsed="false">
      <c r="A183" s="12" t="s">
        <v>2904</v>
      </c>
      <c r="B183" s="12" t="s">
        <v>1291</v>
      </c>
      <c r="C183" s="12" t="s">
        <v>2399</v>
      </c>
      <c r="D183" s="12" t="s">
        <v>2400</v>
      </c>
      <c r="E183" s="12" t="n">
        <v>16</v>
      </c>
      <c r="F183" s="12" t="n">
        <v>6</v>
      </c>
      <c r="G183" s="15" t="n">
        <v>26400</v>
      </c>
      <c r="H183" s="15" t="n">
        <v>31000</v>
      </c>
      <c r="I183" s="12" t="s">
        <v>2905</v>
      </c>
      <c r="J183" s="17" t="n">
        <v>46440</v>
      </c>
      <c r="K183" s="12" t="s">
        <v>1120</v>
      </c>
      <c r="L183" s="12" t="n">
        <v>11</v>
      </c>
      <c r="M183" s="15" t="n">
        <f aca="false">E183*G183</f>
        <v>422400</v>
      </c>
      <c r="N183" s="15" t="n">
        <f aca="false">E183*H183</f>
        <v>496000</v>
      </c>
      <c r="O183" s="18" t="n">
        <f aca="false">IF(H183=0,"",(H183-G183)/H183)</f>
        <v>0.148387096774194</v>
      </c>
      <c r="P183" s="12" t="n">
        <f aca="false">IF(J183="","",J183-README!$C$4)</f>
        <v>118</v>
      </c>
      <c r="Q183" s="12" t="str">
        <f aca="false">IF(E183=0,"Out of stock",IF(E183&lt;=F183,"Low stock","OK"))</f>
        <v>OK</v>
      </c>
      <c r="R183" s="12" t="str">
        <f aca="false">IF(J183="","No expiry",IF(P183&lt;0,"Expired",IF(P183&lt;=30,"Expiring &lt;=30 days","OK")))</f>
        <v>OK</v>
      </c>
      <c r="S183" s="12"/>
    </row>
    <row r="184" customFormat="false" ht="15" hidden="false" customHeight="false" outlineLevel="0" collapsed="false">
      <c r="A184" s="12" t="s">
        <v>2906</v>
      </c>
      <c r="B184" s="12" t="s">
        <v>1291</v>
      </c>
      <c r="C184" s="12" t="s">
        <v>2406</v>
      </c>
      <c r="D184" s="12" t="s">
        <v>2407</v>
      </c>
      <c r="E184" s="12" t="n">
        <v>9</v>
      </c>
      <c r="F184" s="12" t="n">
        <v>6</v>
      </c>
      <c r="G184" s="15" t="n">
        <v>33700</v>
      </c>
      <c r="H184" s="15" t="n">
        <v>41000</v>
      </c>
      <c r="I184" s="12" t="s">
        <v>2907</v>
      </c>
      <c r="J184" s="17" t="n">
        <v>46558</v>
      </c>
      <c r="K184" s="12" t="s">
        <v>1120</v>
      </c>
      <c r="L184" s="12" t="n">
        <v>6</v>
      </c>
      <c r="M184" s="15" t="n">
        <f aca="false">E184*G184</f>
        <v>303300</v>
      </c>
      <c r="N184" s="15" t="n">
        <f aca="false">E184*H184</f>
        <v>369000</v>
      </c>
      <c r="O184" s="18" t="n">
        <f aca="false">IF(H184=0,"",(H184-G184)/H184)</f>
        <v>0.178048780487805</v>
      </c>
      <c r="P184" s="12" t="n">
        <f aca="false">IF(J184="","",J184-README!$C$4)</f>
        <v>236</v>
      </c>
      <c r="Q184" s="12" t="str">
        <f aca="false">IF(E184=0,"Out of stock",IF(E184&lt;=F184,"Low stock","OK"))</f>
        <v>OK</v>
      </c>
      <c r="R184" s="12" t="str">
        <f aca="false">IF(J184="","No expiry",IF(P184&lt;0,"Expired",IF(P184&lt;=30,"Expiring &lt;=30 days","OK")))</f>
        <v>OK</v>
      </c>
      <c r="S184" s="12"/>
    </row>
    <row r="185" customFormat="false" ht="15" hidden="false" customHeight="false" outlineLevel="0" collapsed="false">
      <c r="A185" s="12" t="s">
        <v>2908</v>
      </c>
      <c r="B185" s="12" t="s">
        <v>1291</v>
      </c>
      <c r="C185" s="12" t="s">
        <v>2409</v>
      </c>
      <c r="D185" s="12" t="s">
        <v>2410</v>
      </c>
      <c r="E185" s="12" t="n">
        <v>8</v>
      </c>
      <c r="F185" s="12" t="n">
        <v>6</v>
      </c>
      <c r="G185" s="15" t="n">
        <v>25600</v>
      </c>
      <c r="H185" s="15" t="n">
        <v>31000</v>
      </c>
      <c r="I185" s="12" t="s">
        <v>2909</v>
      </c>
      <c r="J185" s="17" t="n">
        <v>46390</v>
      </c>
      <c r="K185" s="12" t="s">
        <v>1120</v>
      </c>
      <c r="L185" s="12" t="n">
        <v>5</v>
      </c>
      <c r="M185" s="15" t="n">
        <f aca="false">E185*G185</f>
        <v>204800</v>
      </c>
      <c r="N185" s="15" t="n">
        <f aca="false">E185*H185</f>
        <v>248000</v>
      </c>
      <c r="O185" s="18" t="n">
        <f aca="false">IF(H185=0,"",(H185-G185)/H185)</f>
        <v>0.174193548387097</v>
      </c>
      <c r="P185" s="12" t="n">
        <f aca="false">IF(J185="","",J185-README!$C$4)</f>
        <v>68</v>
      </c>
      <c r="Q185" s="12" t="str">
        <f aca="false">IF(E185=0,"Out of stock",IF(E185&lt;=F185,"Low stock","OK"))</f>
        <v>OK</v>
      </c>
      <c r="R185" s="12" t="str">
        <f aca="false">IF(J185="","No expiry",IF(P185&lt;0,"Expired",IF(P185&lt;=30,"Expiring &lt;=30 days","OK")))</f>
        <v>OK</v>
      </c>
      <c r="S185" s="12"/>
    </row>
    <row r="186" customFormat="false" ht="15" hidden="false" customHeight="false" outlineLevel="0" collapsed="false">
      <c r="A186" s="12" t="s">
        <v>2910</v>
      </c>
      <c r="B186" s="12" t="s">
        <v>1291</v>
      </c>
      <c r="C186" s="12" t="s">
        <v>2412</v>
      </c>
      <c r="D186" s="12" t="s">
        <v>2413</v>
      </c>
      <c r="E186" s="12" t="n">
        <v>13</v>
      </c>
      <c r="F186" s="12" t="n">
        <v>8</v>
      </c>
      <c r="G186" s="15" t="n">
        <v>16500</v>
      </c>
      <c r="H186" s="15" t="n">
        <v>18500</v>
      </c>
      <c r="I186" s="12" t="s">
        <v>2911</v>
      </c>
      <c r="J186" s="17" t="n">
        <v>47187</v>
      </c>
      <c r="K186" s="12" t="s">
        <v>1120</v>
      </c>
      <c r="L186" s="12" t="n">
        <v>9</v>
      </c>
      <c r="M186" s="15" t="n">
        <f aca="false">E186*G186</f>
        <v>214500</v>
      </c>
      <c r="N186" s="15" t="n">
        <f aca="false">E186*H186</f>
        <v>240500</v>
      </c>
      <c r="O186" s="18" t="n">
        <f aca="false">IF(H186=0,"",(H186-G186)/H186)</f>
        <v>0.108108108108108</v>
      </c>
      <c r="P186" s="12" t="n">
        <f aca="false">IF(J186="","",J186-README!$C$4)</f>
        <v>865</v>
      </c>
      <c r="Q186" s="12" t="str">
        <f aca="false">IF(E186=0,"Out of stock",IF(E186&lt;=F186,"Low stock","OK"))</f>
        <v>OK</v>
      </c>
      <c r="R186" s="12" t="str">
        <f aca="false">IF(J186="","No expiry",IF(P186&lt;0,"Expired",IF(P186&lt;=30,"Expiring &lt;=30 days","OK")))</f>
        <v>OK</v>
      </c>
      <c r="S186" s="12"/>
    </row>
    <row r="187" customFormat="false" ht="15" hidden="false" customHeight="false" outlineLevel="0" collapsed="false">
      <c r="A187" s="12" t="s">
        <v>2912</v>
      </c>
      <c r="B187" s="12" t="s">
        <v>1291</v>
      </c>
      <c r="C187" s="12" t="s">
        <v>2419</v>
      </c>
      <c r="D187" s="12" t="s">
        <v>2420</v>
      </c>
      <c r="E187" s="12" t="n">
        <v>19</v>
      </c>
      <c r="F187" s="12" t="n">
        <v>8</v>
      </c>
      <c r="G187" s="15" t="n">
        <v>21100</v>
      </c>
      <c r="H187" s="15" t="n">
        <v>26000</v>
      </c>
      <c r="I187" s="12" t="s">
        <v>2913</v>
      </c>
      <c r="J187" s="17" t="n">
        <v>46690</v>
      </c>
      <c r="K187" s="12" t="s">
        <v>1120</v>
      </c>
      <c r="L187" s="12" t="n">
        <v>13</v>
      </c>
      <c r="M187" s="15" t="n">
        <f aca="false">E187*G187</f>
        <v>400900</v>
      </c>
      <c r="N187" s="15" t="n">
        <f aca="false">E187*H187</f>
        <v>494000</v>
      </c>
      <c r="O187" s="18" t="n">
        <f aca="false">IF(H187=0,"",(H187-G187)/H187)</f>
        <v>0.188461538461538</v>
      </c>
      <c r="P187" s="12" t="n">
        <f aca="false">IF(J187="","",J187-README!$C$4)</f>
        <v>368</v>
      </c>
      <c r="Q187" s="12" t="str">
        <f aca="false">IF(E187=0,"Out of stock",IF(E187&lt;=F187,"Low stock","OK"))</f>
        <v>OK</v>
      </c>
      <c r="R187" s="12" t="str">
        <f aca="false">IF(J187="","No expiry",IF(P187&lt;0,"Expired",IF(P187&lt;=30,"Expiring &lt;=30 days","OK")))</f>
        <v>OK</v>
      </c>
      <c r="S187" s="12"/>
    </row>
    <row r="188" customFormat="false" ht="15" hidden="false" customHeight="false" outlineLevel="0" collapsed="false">
      <c r="A188" s="12" t="s">
        <v>2914</v>
      </c>
      <c r="B188" s="12" t="s">
        <v>1291</v>
      </c>
      <c r="C188" s="12" t="s">
        <v>2422</v>
      </c>
      <c r="D188" s="12" t="s">
        <v>2424</v>
      </c>
      <c r="E188" s="12" t="n">
        <v>3</v>
      </c>
      <c r="F188" s="12" t="n">
        <v>2</v>
      </c>
      <c r="G188" s="15" t="n">
        <v>13100</v>
      </c>
      <c r="H188" s="15" t="n">
        <v>15500</v>
      </c>
      <c r="I188" s="12" t="s">
        <v>2915</v>
      </c>
      <c r="J188" s="17" t="n">
        <v>46944</v>
      </c>
      <c r="K188" s="12" t="s">
        <v>1120</v>
      </c>
      <c r="L188" s="12" t="n">
        <v>2</v>
      </c>
      <c r="M188" s="15" t="n">
        <f aca="false">E188*G188</f>
        <v>39300</v>
      </c>
      <c r="N188" s="15" t="n">
        <f aca="false">E188*H188</f>
        <v>46500</v>
      </c>
      <c r="O188" s="18" t="n">
        <f aca="false">IF(H188=0,"",(H188-G188)/H188)</f>
        <v>0.154838709677419</v>
      </c>
      <c r="P188" s="12" t="n">
        <f aca="false">IF(J188="","",J188-README!$C$4)</f>
        <v>622</v>
      </c>
      <c r="Q188" s="12" t="str">
        <f aca="false">IF(E188=0,"Out of stock",IF(E188&lt;=F188,"Low stock","OK"))</f>
        <v>OK</v>
      </c>
      <c r="R188" s="12" t="str">
        <f aca="false">IF(J188="","No expiry",IF(P188&lt;0,"Expired",IF(P188&lt;=30,"Expiring &lt;=30 days","OK")))</f>
        <v>OK</v>
      </c>
      <c r="S188" s="12"/>
    </row>
    <row r="189" customFormat="false" ht="15" hidden="false" customHeight="false" outlineLevel="0" collapsed="false">
      <c r="A189" s="12" t="s">
        <v>2916</v>
      </c>
      <c r="B189" s="12" t="s">
        <v>1291</v>
      </c>
      <c r="C189" s="12" t="s">
        <v>2426</v>
      </c>
      <c r="D189" s="12" t="s">
        <v>2427</v>
      </c>
      <c r="E189" s="12" t="n">
        <v>21</v>
      </c>
      <c r="F189" s="12" t="n">
        <v>8</v>
      </c>
      <c r="G189" s="15" t="n">
        <v>6700</v>
      </c>
      <c r="H189" s="15" t="n">
        <v>8200</v>
      </c>
      <c r="I189" s="12" t="s">
        <v>2917</v>
      </c>
      <c r="J189" s="17" t="n">
        <v>47176</v>
      </c>
      <c r="K189" s="12" t="s">
        <v>1120</v>
      </c>
      <c r="L189" s="12" t="n">
        <v>14</v>
      </c>
      <c r="M189" s="15" t="n">
        <f aca="false">E189*G189</f>
        <v>140700</v>
      </c>
      <c r="N189" s="15" t="n">
        <f aca="false">E189*H189</f>
        <v>172200</v>
      </c>
      <c r="O189" s="18" t="n">
        <f aca="false">IF(H189=0,"",(H189-G189)/H189)</f>
        <v>0.182926829268293</v>
      </c>
      <c r="P189" s="12" t="n">
        <f aca="false">IF(J189="","",J189-README!$C$4)</f>
        <v>854</v>
      </c>
      <c r="Q189" s="12" t="str">
        <f aca="false">IF(E189=0,"Out of stock",IF(E189&lt;=F189,"Low stock","OK"))</f>
        <v>OK</v>
      </c>
      <c r="R189" s="12" t="str">
        <f aca="false">IF(J189="","No expiry",IF(P189&lt;0,"Expired",IF(P189&lt;=30,"Expiring &lt;=30 days","OK")))</f>
        <v>OK</v>
      </c>
      <c r="S189" s="12"/>
    </row>
    <row r="190" customFormat="false" ht="15" hidden="false" customHeight="false" outlineLevel="0" collapsed="false">
      <c r="A190" s="12" t="s">
        <v>2918</v>
      </c>
      <c r="B190" s="12" t="s">
        <v>1291</v>
      </c>
      <c r="C190" s="12" t="s">
        <v>2429</v>
      </c>
      <c r="D190" s="12" t="s">
        <v>2431</v>
      </c>
      <c r="E190" s="12" t="n">
        <v>10</v>
      </c>
      <c r="F190" s="12" t="n">
        <v>4</v>
      </c>
      <c r="G190" s="15" t="n">
        <v>4300</v>
      </c>
      <c r="H190" s="15" t="n">
        <v>5200</v>
      </c>
      <c r="I190" s="12"/>
      <c r="J190" s="17"/>
      <c r="K190" s="12" t="s">
        <v>1120</v>
      </c>
      <c r="L190" s="12" t="n">
        <v>7</v>
      </c>
      <c r="M190" s="15" t="n">
        <f aca="false">E190*G190</f>
        <v>43000</v>
      </c>
      <c r="N190" s="15" t="n">
        <f aca="false">E190*H190</f>
        <v>52000</v>
      </c>
      <c r="O190" s="18" t="n">
        <f aca="false">IF(H190=0,"",(H190-G190)/H190)</f>
        <v>0.173076923076923</v>
      </c>
      <c r="P190" s="12" t="str">
        <f aca="false">IF(J190="","",J190-README!$C$4)</f>
        <v/>
      </c>
      <c r="Q190" s="12" t="str">
        <f aca="false">IF(E190=0,"Out of stock",IF(E190&lt;=F190,"Low stock","OK"))</f>
        <v>OK</v>
      </c>
      <c r="R190" s="12" t="str">
        <f aca="false">IF(J190="","No expiry",IF(P190&lt;0,"Expired",IF(P190&lt;=30,"Expiring &lt;=30 days","OK")))</f>
        <v>No expiry</v>
      </c>
      <c r="S190" s="12"/>
    </row>
    <row r="191" customFormat="false" ht="15" hidden="false" customHeight="false" outlineLevel="0" collapsed="false">
      <c r="A191" s="12" t="s">
        <v>2919</v>
      </c>
      <c r="B191" s="12" t="s">
        <v>1291</v>
      </c>
      <c r="C191" s="12" t="s">
        <v>2433</v>
      </c>
      <c r="D191" s="12" t="s">
        <v>2435</v>
      </c>
      <c r="E191" s="12" t="n">
        <v>7</v>
      </c>
      <c r="F191" s="12" t="n">
        <v>4</v>
      </c>
      <c r="G191" s="15" t="n">
        <v>8300</v>
      </c>
      <c r="H191" s="15" t="n">
        <v>9300</v>
      </c>
      <c r="I191" s="12"/>
      <c r="J191" s="17"/>
      <c r="K191" s="12" t="s">
        <v>1120</v>
      </c>
      <c r="L191" s="12" t="n">
        <v>4</v>
      </c>
      <c r="M191" s="15" t="n">
        <f aca="false">E191*G191</f>
        <v>58100</v>
      </c>
      <c r="N191" s="15" t="n">
        <f aca="false">E191*H191</f>
        <v>65100</v>
      </c>
      <c r="O191" s="18" t="n">
        <f aca="false">IF(H191=0,"",(H191-G191)/H191)</f>
        <v>0.10752688172043</v>
      </c>
      <c r="P191" s="12" t="str">
        <f aca="false">IF(J191="","",J191-README!$C$4)</f>
        <v/>
      </c>
      <c r="Q191" s="12" t="str">
        <f aca="false">IF(E191=0,"Out of stock",IF(E191&lt;=F191,"Low stock","OK"))</f>
        <v>OK</v>
      </c>
      <c r="R191" s="12" t="str">
        <f aca="false">IF(J191="","No expiry",IF(P191&lt;0,"Expired",IF(P191&lt;=30,"Expiring &lt;=30 days","OK")))</f>
        <v>No expiry</v>
      </c>
      <c r="S191" s="12"/>
    </row>
    <row r="192" customFormat="false" ht="15" hidden="false" customHeight="false" outlineLevel="0" collapsed="false">
      <c r="A192" s="12" t="s">
        <v>2920</v>
      </c>
      <c r="B192" s="12" t="s">
        <v>1291</v>
      </c>
      <c r="C192" s="12" t="s">
        <v>2437</v>
      </c>
      <c r="D192" s="12" t="s">
        <v>2439</v>
      </c>
      <c r="E192" s="12" t="n">
        <v>13</v>
      </c>
      <c r="F192" s="12" t="n">
        <v>4</v>
      </c>
      <c r="G192" s="15" t="n">
        <v>10500</v>
      </c>
      <c r="H192" s="15" t="n">
        <v>12500</v>
      </c>
      <c r="I192" s="12"/>
      <c r="J192" s="17"/>
      <c r="K192" s="12" t="s">
        <v>1111</v>
      </c>
      <c r="L192" s="12" t="n">
        <v>0</v>
      </c>
      <c r="M192" s="15" t="n">
        <f aca="false">E192*G192</f>
        <v>136500</v>
      </c>
      <c r="N192" s="15" t="n">
        <f aca="false">E192*H192</f>
        <v>162500</v>
      </c>
      <c r="O192" s="18" t="n">
        <f aca="false">IF(H192=0,"",(H192-G192)/H192)</f>
        <v>0.16</v>
      </c>
      <c r="P192" s="12" t="str">
        <f aca="false">IF(J192="","",J192-README!$C$4)</f>
        <v/>
      </c>
      <c r="Q192" s="12" t="str">
        <f aca="false">IF(E192=0,"Out of stock",IF(E192&lt;=F192,"Low stock","OK"))</f>
        <v>OK</v>
      </c>
      <c r="R192" s="12" t="str">
        <f aca="false">IF(J192="","No expiry",IF(P192&lt;0,"Expired",IF(P192&lt;=30,"Expiring &lt;=30 days","OK")))</f>
        <v>No expiry</v>
      </c>
      <c r="S192" s="12"/>
    </row>
    <row r="193" customFormat="false" ht="15" hidden="false" customHeight="false" outlineLevel="0" collapsed="false">
      <c r="A193" s="12" t="s">
        <v>2921</v>
      </c>
      <c r="B193" s="12" t="s">
        <v>1291</v>
      </c>
      <c r="C193" s="12" t="s">
        <v>2441</v>
      </c>
      <c r="D193" s="12" t="s">
        <v>1882</v>
      </c>
      <c r="E193" s="12" t="n">
        <v>11</v>
      </c>
      <c r="F193" s="12" t="n">
        <v>4</v>
      </c>
      <c r="G193" s="15" t="n">
        <v>2700</v>
      </c>
      <c r="H193" s="15" t="n">
        <v>3100</v>
      </c>
      <c r="I193" s="12"/>
      <c r="J193" s="17"/>
      <c r="K193" s="12" t="s">
        <v>1120</v>
      </c>
      <c r="L193" s="12" t="n">
        <v>7</v>
      </c>
      <c r="M193" s="15" t="n">
        <f aca="false">E193*G193</f>
        <v>29700</v>
      </c>
      <c r="N193" s="15" t="n">
        <f aca="false">E193*H193</f>
        <v>34100</v>
      </c>
      <c r="O193" s="18" t="n">
        <f aca="false">IF(H193=0,"",(H193-G193)/H193)</f>
        <v>0.129032258064516</v>
      </c>
      <c r="P193" s="12" t="str">
        <f aca="false">IF(J193="","",J193-README!$C$4)</f>
        <v/>
      </c>
      <c r="Q193" s="12" t="str">
        <f aca="false">IF(E193=0,"Out of stock",IF(E193&lt;=F193,"Low stock","OK"))</f>
        <v>OK</v>
      </c>
      <c r="R193" s="12" t="str">
        <f aca="false">IF(J193="","No expiry",IF(P193&lt;0,"Expired",IF(P193&lt;=30,"Expiring &lt;=30 days","OK")))</f>
        <v>No expiry</v>
      </c>
      <c r="S193" s="12"/>
    </row>
    <row r="194" customFormat="false" ht="15" hidden="false" customHeight="false" outlineLevel="0" collapsed="false">
      <c r="A194" s="12" t="s">
        <v>2922</v>
      </c>
      <c r="B194" s="12" t="s">
        <v>1291</v>
      </c>
      <c r="C194" s="12" t="s">
        <v>2444</v>
      </c>
      <c r="D194" s="12" t="s">
        <v>1887</v>
      </c>
      <c r="E194" s="12" t="n">
        <v>6</v>
      </c>
      <c r="F194" s="12" t="n">
        <v>1</v>
      </c>
      <c r="G194" s="15" t="n">
        <v>28900</v>
      </c>
      <c r="H194" s="15" t="n">
        <v>36000</v>
      </c>
      <c r="I194" s="12"/>
      <c r="J194" s="17"/>
      <c r="K194" s="12" t="s">
        <v>1120</v>
      </c>
      <c r="L194" s="12" t="n">
        <v>4</v>
      </c>
      <c r="M194" s="15" t="n">
        <f aca="false">E194*G194</f>
        <v>173400</v>
      </c>
      <c r="N194" s="15" t="n">
        <f aca="false">E194*H194</f>
        <v>216000</v>
      </c>
      <c r="O194" s="18" t="n">
        <f aca="false">IF(H194=0,"",(H194-G194)/H194)</f>
        <v>0.197222222222222</v>
      </c>
      <c r="P194" s="12" t="str">
        <f aca="false">IF(J194="","",J194-README!$C$4)</f>
        <v/>
      </c>
      <c r="Q194" s="12" t="str">
        <f aca="false">IF(E194=0,"Out of stock",IF(E194&lt;=F194,"Low stock","OK"))</f>
        <v>OK</v>
      </c>
      <c r="R194" s="12" t="str">
        <f aca="false">IF(J194="","No expiry",IF(P194&lt;0,"Expired",IF(P194&lt;=30,"Expiring &lt;=30 days","OK")))</f>
        <v>No expiry</v>
      </c>
      <c r="S194" s="12"/>
    </row>
    <row r="195" customFormat="false" ht="15" hidden="false" customHeight="false" outlineLevel="0" collapsed="false">
      <c r="A195" s="12" t="s">
        <v>2923</v>
      </c>
      <c r="B195" s="12" t="s">
        <v>1291</v>
      </c>
      <c r="C195" s="12" t="s">
        <v>2447</v>
      </c>
      <c r="D195" s="12" t="s">
        <v>1892</v>
      </c>
      <c r="E195" s="12" t="n">
        <v>10</v>
      </c>
      <c r="F195" s="12" t="n">
        <v>4</v>
      </c>
      <c r="G195" s="15" t="n">
        <v>22300</v>
      </c>
      <c r="H195" s="15" t="n">
        <v>26000</v>
      </c>
      <c r="I195" s="12"/>
      <c r="J195" s="17"/>
      <c r="K195" s="12" t="s">
        <v>1120</v>
      </c>
      <c r="L195" s="12" t="n">
        <v>7</v>
      </c>
      <c r="M195" s="15" t="n">
        <f aca="false">E195*G195</f>
        <v>223000</v>
      </c>
      <c r="N195" s="15" t="n">
        <f aca="false">E195*H195</f>
        <v>260000</v>
      </c>
      <c r="O195" s="18" t="n">
        <f aca="false">IF(H195=0,"",(H195-G195)/H195)</f>
        <v>0.142307692307692</v>
      </c>
      <c r="P195" s="12" t="str">
        <f aca="false">IF(J195="","",J195-README!$C$4)</f>
        <v/>
      </c>
      <c r="Q195" s="12" t="str">
        <f aca="false">IF(E195=0,"Out of stock",IF(E195&lt;=F195,"Low stock","OK"))</f>
        <v>OK</v>
      </c>
      <c r="R195" s="12" t="str">
        <f aca="false">IF(J195="","No expiry",IF(P195&lt;0,"Expired",IF(P195&lt;=30,"Expiring &lt;=30 days","OK")))</f>
        <v>No expiry</v>
      </c>
      <c r="S195" s="12"/>
    </row>
    <row r="196" customFormat="false" ht="15" hidden="false" customHeight="false" outlineLevel="0" collapsed="false">
      <c r="A196" s="12" t="s">
        <v>2924</v>
      </c>
      <c r="B196" s="12" t="s">
        <v>1291</v>
      </c>
      <c r="C196" s="12" t="s">
        <v>2449</v>
      </c>
      <c r="D196" s="12" t="s">
        <v>1897</v>
      </c>
      <c r="E196" s="12" t="n">
        <v>14</v>
      </c>
      <c r="F196" s="12" t="n">
        <v>4</v>
      </c>
      <c r="G196" s="15" t="n">
        <v>15500</v>
      </c>
      <c r="H196" s="15" t="n">
        <v>18500</v>
      </c>
      <c r="I196" s="12"/>
      <c r="J196" s="17"/>
      <c r="K196" s="12" t="s">
        <v>1120</v>
      </c>
      <c r="L196" s="12" t="n">
        <v>9</v>
      </c>
      <c r="M196" s="15" t="n">
        <f aca="false">E196*G196</f>
        <v>217000</v>
      </c>
      <c r="N196" s="15" t="n">
        <f aca="false">E196*H196</f>
        <v>259000</v>
      </c>
      <c r="O196" s="18" t="n">
        <f aca="false">IF(H196=0,"",(H196-G196)/H196)</f>
        <v>0.162162162162162</v>
      </c>
      <c r="P196" s="12" t="str">
        <f aca="false">IF(J196="","",J196-README!$C$4)</f>
        <v/>
      </c>
      <c r="Q196" s="12" t="str">
        <f aca="false">IF(E196=0,"Out of stock",IF(E196&lt;=F196,"Low stock","OK"))</f>
        <v>OK</v>
      </c>
      <c r="R196" s="12" t="str">
        <f aca="false">IF(J196="","No expiry",IF(P196&lt;0,"Expired",IF(P196&lt;=30,"Expiring &lt;=30 days","OK")))</f>
        <v>No expiry</v>
      </c>
      <c r="S196" s="12"/>
    </row>
    <row r="197" customFormat="false" ht="15" hidden="false" customHeight="false" outlineLevel="0" collapsed="false">
      <c r="A197" s="12" t="s">
        <v>2925</v>
      </c>
      <c r="B197" s="12" t="s">
        <v>1291</v>
      </c>
      <c r="C197" s="12" t="s">
        <v>2451</v>
      </c>
      <c r="D197" s="12" t="s">
        <v>1903</v>
      </c>
      <c r="E197" s="12" t="n">
        <v>7</v>
      </c>
      <c r="F197" s="12" t="n">
        <v>4</v>
      </c>
      <c r="G197" s="15" t="n">
        <v>31800</v>
      </c>
      <c r="H197" s="15" t="n">
        <v>36000</v>
      </c>
      <c r="I197" s="12"/>
      <c r="J197" s="17"/>
      <c r="K197" s="12" t="s">
        <v>1120</v>
      </c>
      <c r="L197" s="12" t="n">
        <v>4</v>
      </c>
      <c r="M197" s="15" t="n">
        <f aca="false">E197*G197</f>
        <v>222600</v>
      </c>
      <c r="N197" s="15" t="n">
        <f aca="false">E197*H197</f>
        <v>252000</v>
      </c>
      <c r="O197" s="18" t="n">
        <f aca="false">IF(H197=0,"",(H197-G197)/H197)</f>
        <v>0.116666666666667</v>
      </c>
      <c r="P197" s="12" t="str">
        <f aca="false">IF(J197="","",J197-README!$C$4)</f>
        <v/>
      </c>
      <c r="Q197" s="12" t="str">
        <f aca="false">IF(E197=0,"Out of stock",IF(E197&lt;=F197,"Low stock","OK"))</f>
        <v>OK</v>
      </c>
      <c r="R197" s="12" t="str">
        <f aca="false">IF(J197="","No expiry",IF(P197&lt;0,"Expired",IF(P197&lt;=30,"Expiring &lt;=30 days","OK")))</f>
        <v>No expiry</v>
      </c>
      <c r="S197" s="12"/>
    </row>
    <row r="198" customFormat="false" ht="15" hidden="false" customHeight="false" outlineLevel="0" collapsed="false">
      <c r="A198" s="12" t="s">
        <v>2926</v>
      </c>
      <c r="B198" s="12" t="s">
        <v>1291</v>
      </c>
      <c r="C198" s="12" t="s">
        <v>2467</v>
      </c>
      <c r="D198" s="12" t="s">
        <v>2468</v>
      </c>
      <c r="E198" s="12" t="n">
        <v>3</v>
      </c>
      <c r="F198" s="12" t="n">
        <v>2</v>
      </c>
      <c r="G198" s="15" t="n">
        <v>21400</v>
      </c>
      <c r="H198" s="15" t="n">
        <v>26000</v>
      </c>
      <c r="I198" s="12"/>
      <c r="J198" s="17"/>
      <c r="K198" s="12" t="s">
        <v>1120</v>
      </c>
      <c r="L198" s="12" t="n">
        <v>2</v>
      </c>
      <c r="M198" s="15" t="n">
        <f aca="false">E198*G198</f>
        <v>64200</v>
      </c>
      <c r="N198" s="15" t="n">
        <f aca="false">E198*H198</f>
        <v>78000</v>
      </c>
      <c r="O198" s="18" t="n">
        <f aca="false">IF(H198=0,"",(H198-G198)/H198)</f>
        <v>0.176923076923077</v>
      </c>
      <c r="P198" s="12" t="str">
        <f aca="false">IF(J198="","",J198-README!$C$4)</f>
        <v/>
      </c>
      <c r="Q198" s="12" t="str">
        <f aca="false">IF(E198=0,"Out of stock",IF(E198&lt;=F198,"Low stock","OK"))</f>
        <v>OK</v>
      </c>
      <c r="R198" s="12" t="str">
        <f aca="false">IF(J198="","No expiry",IF(P198&lt;0,"Expired",IF(P198&lt;=30,"Expiring &lt;=30 days","OK")))</f>
        <v>No expiry</v>
      </c>
      <c r="S198" s="12"/>
    </row>
    <row r="199" customFormat="false" ht="15" hidden="false" customHeight="false" outlineLevel="0" collapsed="false">
      <c r="A199" s="12" t="s">
        <v>2927</v>
      </c>
      <c r="B199" s="12" t="s">
        <v>1291</v>
      </c>
      <c r="C199" s="12" t="s">
        <v>2472</v>
      </c>
      <c r="D199" s="12" t="s">
        <v>1950</v>
      </c>
      <c r="E199" s="12" t="n">
        <v>14</v>
      </c>
      <c r="F199" s="12" t="n">
        <v>4</v>
      </c>
      <c r="G199" s="15" t="n">
        <v>13900</v>
      </c>
      <c r="H199" s="15" t="n">
        <v>15500</v>
      </c>
      <c r="I199" s="12"/>
      <c r="J199" s="17"/>
      <c r="K199" s="12" t="s">
        <v>1120</v>
      </c>
      <c r="L199" s="12" t="n">
        <v>9</v>
      </c>
      <c r="M199" s="15" t="n">
        <f aca="false">E199*G199</f>
        <v>194600</v>
      </c>
      <c r="N199" s="15" t="n">
        <f aca="false">E199*H199</f>
        <v>217000</v>
      </c>
      <c r="O199" s="18" t="n">
        <f aca="false">IF(H199=0,"",(H199-G199)/H199)</f>
        <v>0.103225806451613</v>
      </c>
      <c r="P199" s="12" t="str">
        <f aca="false">IF(J199="","",J199-README!$C$4)</f>
        <v/>
      </c>
      <c r="Q199" s="12" t="str">
        <f aca="false">IF(E199=0,"Out of stock",IF(E199&lt;=F199,"Low stock","OK"))</f>
        <v>OK</v>
      </c>
      <c r="R199" s="12" t="str">
        <f aca="false">IF(J199="","No expiry",IF(P199&lt;0,"Expired",IF(P199&lt;=30,"Expiring &lt;=30 days","OK")))</f>
        <v>No expiry</v>
      </c>
      <c r="S199" s="12"/>
    </row>
    <row r="200" customFormat="false" ht="15" hidden="false" customHeight="false" outlineLevel="0" collapsed="false">
      <c r="A200" s="12" t="s">
        <v>2928</v>
      </c>
      <c r="B200" s="12" t="s">
        <v>1305</v>
      </c>
      <c r="C200" s="12" t="s">
        <v>2074</v>
      </c>
      <c r="D200" s="12" t="s">
        <v>2076</v>
      </c>
      <c r="E200" s="12" t="n">
        <v>52</v>
      </c>
      <c r="F200" s="12" t="n">
        <v>11</v>
      </c>
      <c r="G200" s="15" t="n">
        <v>70100</v>
      </c>
      <c r="H200" s="15" t="n">
        <v>83500</v>
      </c>
      <c r="I200" s="12" t="s">
        <v>2929</v>
      </c>
      <c r="J200" s="17" t="n">
        <v>46331</v>
      </c>
      <c r="K200" s="12" t="s">
        <v>1120</v>
      </c>
      <c r="L200" s="12" t="n">
        <v>36</v>
      </c>
      <c r="M200" s="15" t="n">
        <f aca="false">E200*G200</f>
        <v>3645200</v>
      </c>
      <c r="N200" s="15" t="n">
        <f aca="false">E200*H200</f>
        <v>4342000</v>
      </c>
      <c r="O200" s="18" t="n">
        <f aca="false">IF(H200=0,"",(H200-G200)/H200)</f>
        <v>0.160479041916168</v>
      </c>
      <c r="P200" s="12" t="n">
        <f aca="false">IF(J200="","",J200-README!$C$4)</f>
        <v>9</v>
      </c>
      <c r="Q200" s="12" t="str">
        <f aca="false">IF(E200=0,"Out of stock",IF(E200&lt;=F200,"Low stock","OK"))</f>
        <v>OK</v>
      </c>
      <c r="R200" s="12" t="str">
        <f aca="false">IF(J200="","No expiry",IF(P200&lt;0,"Expired",IF(P200&lt;=30,"Expiring &lt;=30 days","OK")))</f>
        <v>Expiring &lt;=30 days</v>
      </c>
      <c r="S200" s="19" t="s">
        <v>2641</v>
      </c>
    </row>
    <row r="201" customFormat="false" ht="15" hidden="false" customHeight="false" outlineLevel="0" collapsed="false">
      <c r="A201" s="12" t="s">
        <v>2930</v>
      </c>
      <c r="B201" s="12" t="s">
        <v>1305</v>
      </c>
      <c r="C201" s="12" t="s">
        <v>2081</v>
      </c>
      <c r="D201" s="12" t="s">
        <v>2082</v>
      </c>
      <c r="E201" s="12" t="n">
        <v>22</v>
      </c>
      <c r="F201" s="12" t="n">
        <v>11</v>
      </c>
      <c r="G201" s="15" t="n">
        <v>69500</v>
      </c>
      <c r="H201" s="15" t="n">
        <v>79500</v>
      </c>
      <c r="I201" s="12" t="s">
        <v>2931</v>
      </c>
      <c r="J201" s="17" t="n">
        <v>46384</v>
      </c>
      <c r="K201" s="12" t="s">
        <v>1111</v>
      </c>
      <c r="L201" s="12" t="n">
        <v>0</v>
      </c>
      <c r="M201" s="15" t="n">
        <f aca="false">E201*G201</f>
        <v>1529000</v>
      </c>
      <c r="N201" s="15" t="n">
        <f aca="false">E201*H201</f>
        <v>1749000</v>
      </c>
      <c r="O201" s="18" t="n">
        <f aca="false">IF(H201=0,"",(H201-G201)/H201)</f>
        <v>0.125786163522013</v>
      </c>
      <c r="P201" s="12" t="n">
        <f aca="false">IF(J201="","",J201-README!$C$4)</f>
        <v>62</v>
      </c>
      <c r="Q201" s="12" t="str">
        <f aca="false">IF(E201=0,"Out of stock",IF(E201&lt;=F201,"Low stock","OK"))</f>
        <v>OK</v>
      </c>
      <c r="R201" s="12" t="str">
        <f aca="false">IF(J201="","No expiry",IF(P201&lt;0,"Expired",IF(P201&lt;=30,"Expiring &lt;=30 days","OK")))</f>
        <v>OK</v>
      </c>
      <c r="S201" s="12"/>
    </row>
    <row r="202" customFormat="false" ht="15" hidden="false" customHeight="false" outlineLevel="0" collapsed="false">
      <c r="A202" s="12" t="s">
        <v>2932</v>
      </c>
      <c r="B202" s="12" t="s">
        <v>1305</v>
      </c>
      <c r="C202" s="12" t="s">
        <v>2084</v>
      </c>
      <c r="D202" s="12" t="s">
        <v>2085</v>
      </c>
      <c r="E202" s="12" t="n">
        <v>15</v>
      </c>
      <c r="F202" s="12" t="n">
        <v>11</v>
      </c>
      <c r="G202" s="15" t="n">
        <v>34600</v>
      </c>
      <c r="H202" s="15" t="n">
        <v>40000</v>
      </c>
      <c r="I202" s="12" t="s">
        <v>2933</v>
      </c>
      <c r="J202" s="17" t="n">
        <v>46408</v>
      </c>
      <c r="K202" s="12" t="s">
        <v>1120</v>
      </c>
      <c r="L202" s="12" t="n">
        <v>10</v>
      </c>
      <c r="M202" s="15" t="n">
        <f aca="false">E202*G202</f>
        <v>519000</v>
      </c>
      <c r="N202" s="15" t="n">
        <f aca="false">E202*H202</f>
        <v>600000</v>
      </c>
      <c r="O202" s="18" t="n">
        <f aca="false">IF(H202=0,"",(H202-G202)/H202)</f>
        <v>0.135</v>
      </c>
      <c r="P202" s="12" t="n">
        <f aca="false">IF(J202="","",J202-README!$C$4)</f>
        <v>86</v>
      </c>
      <c r="Q202" s="12" t="str">
        <f aca="false">IF(E202=0,"Out of stock",IF(E202&lt;=F202,"Low stock","OK"))</f>
        <v>OK</v>
      </c>
      <c r="R202" s="12" t="str">
        <f aca="false">IF(J202="","No expiry",IF(P202&lt;0,"Expired",IF(P202&lt;=30,"Expiring &lt;=30 days","OK")))</f>
        <v>OK</v>
      </c>
      <c r="S202" s="12"/>
    </row>
    <row r="203" customFormat="false" ht="15" hidden="false" customHeight="false" outlineLevel="0" collapsed="false">
      <c r="A203" s="12" t="s">
        <v>2934</v>
      </c>
      <c r="B203" s="12" t="s">
        <v>1305</v>
      </c>
      <c r="C203" s="12" t="s">
        <v>2090</v>
      </c>
      <c r="D203" s="12" t="s">
        <v>2091</v>
      </c>
      <c r="E203" s="12" t="n">
        <v>46</v>
      </c>
      <c r="F203" s="12" t="n">
        <v>11</v>
      </c>
      <c r="G203" s="15" t="n">
        <v>61100</v>
      </c>
      <c r="H203" s="15" t="n">
        <v>71500</v>
      </c>
      <c r="I203" s="12" t="s">
        <v>2935</v>
      </c>
      <c r="J203" s="17" t="n">
        <v>46427</v>
      </c>
      <c r="K203" s="12" t="s">
        <v>1120</v>
      </c>
      <c r="L203" s="12" t="n">
        <v>32</v>
      </c>
      <c r="M203" s="15" t="n">
        <f aca="false">E203*G203</f>
        <v>2810600</v>
      </c>
      <c r="N203" s="15" t="n">
        <f aca="false">E203*H203</f>
        <v>3289000</v>
      </c>
      <c r="O203" s="18" t="n">
        <f aca="false">IF(H203=0,"",(H203-G203)/H203)</f>
        <v>0.145454545454545</v>
      </c>
      <c r="P203" s="12" t="n">
        <f aca="false">IF(J203="","",J203-README!$C$4)</f>
        <v>105</v>
      </c>
      <c r="Q203" s="12" t="str">
        <f aca="false">IF(E203=0,"Out of stock",IF(E203&lt;=F203,"Low stock","OK"))</f>
        <v>OK</v>
      </c>
      <c r="R203" s="12" t="str">
        <f aca="false">IF(J203="","No expiry",IF(P203&lt;0,"Expired",IF(P203&lt;=30,"Expiring &lt;=30 days","OK")))</f>
        <v>OK</v>
      </c>
      <c r="S203" s="12"/>
    </row>
    <row r="204" customFormat="false" ht="15" hidden="false" customHeight="false" outlineLevel="0" collapsed="false">
      <c r="A204" s="12" t="s">
        <v>2936</v>
      </c>
      <c r="B204" s="12" t="s">
        <v>1305</v>
      </c>
      <c r="C204" s="12" t="s">
        <v>2093</v>
      </c>
      <c r="D204" s="12" t="s">
        <v>2094</v>
      </c>
      <c r="E204" s="12" t="n">
        <v>59</v>
      </c>
      <c r="F204" s="12" t="n">
        <v>11</v>
      </c>
      <c r="G204" s="15" t="n">
        <v>26200</v>
      </c>
      <c r="H204" s="15" t="n">
        <v>32500</v>
      </c>
      <c r="I204" s="12" t="s">
        <v>2937</v>
      </c>
      <c r="J204" s="17" t="n">
        <v>46446</v>
      </c>
      <c r="K204" s="12" t="s">
        <v>1120</v>
      </c>
      <c r="L204" s="12" t="n">
        <v>41</v>
      </c>
      <c r="M204" s="15" t="n">
        <f aca="false">E204*G204</f>
        <v>1545800</v>
      </c>
      <c r="N204" s="15" t="n">
        <f aca="false">E204*H204</f>
        <v>1917500</v>
      </c>
      <c r="O204" s="18" t="n">
        <f aca="false">IF(H204=0,"",(H204-G204)/H204)</f>
        <v>0.193846153846154</v>
      </c>
      <c r="P204" s="12" t="n">
        <f aca="false">IF(J204="","",J204-README!$C$4)</f>
        <v>124</v>
      </c>
      <c r="Q204" s="12" t="str">
        <f aca="false">IF(E204=0,"Out of stock",IF(E204&lt;=F204,"Low stock","OK"))</f>
        <v>OK</v>
      </c>
      <c r="R204" s="12" t="str">
        <f aca="false">IF(J204="","No expiry",IF(P204&lt;0,"Expired",IF(P204&lt;=30,"Expiring &lt;=30 days","OK")))</f>
        <v>OK</v>
      </c>
      <c r="S204" s="12"/>
    </row>
    <row r="205" customFormat="false" ht="15" hidden="false" customHeight="false" outlineLevel="0" collapsed="false">
      <c r="A205" s="12" t="s">
        <v>2938</v>
      </c>
      <c r="B205" s="12" t="s">
        <v>1305</v>
      </c>
      <c r="C205" s="12" t="s">
        <v>2096</v>
      </c>
      <c r="D205" s="12" t="s">
        <v>2097</v>
      </c>
      <c r="E205" s="12" t="n">
        <v>79</v>
      </c>
      <c r="F205" s="12" t="n">
        <v>11</v>
      </c>
      <c r="G205" s="15" t="n">
        <v>51500</v>
      </c>
      <c r="H205" s="15" t="n">
        <v>63000</v>
      </c>
      <c r="I205" s="12" t="s">
        <v>2939</v>
      </c>
      <c r="J205" s="17" t="n">
        <v>46459</v>
      </c>
      <c r="K205" s="12" t="s">
        <v>1120</v>
      </c>
      <c r="L205" s="12" t="n">
        <v>55</v>
      </c>
      <c r="M205" s="15" t="n">
        <f aca="false">E205*G205</f>
        <v>4068500</v>
      </c>
      <c r="N205" s="15" t="n">
        <f aca="false">E205*H205</f>
        <v>4977000</v>
      </c>
      <c r="O205" s="18" t="n">
        <f aca="false">IF(H205=0,"",(H205-G205)/H205)</f>
        <v>0.182539682539683</v>
      </c>
      <c r="P205" s="12" t="n">
        <f aca="false">IF(J205="","",J205-README!$C$4)</f>
        <v>137</v>
      </c>
      <c r="Q205" s="12" t="str">
        <f aca="false">IF(E205=0,"Out of stock",IF(E205&lt;=F205,"Low stock","OK"))</f>
        <v>OK</v>
      </c>
      <c r="R205" s="12" t="str">
        <f aca="false">IF(J205="","No expiry",IF(P205&lt;0,"Expired",IF(P205&lt;=30,"Expiring &lt;=30 days","OK")))</f>
        <v>OK</v>
      </c>
      <c r="S205" s="12"/>
    </row>
    <row r="206" customFormat="false" ht="15" hidden="false" customHeight="false" outlineLevel="0" collapsed="false">
      <c r="A206" s="12" t="s">
        <v>2940</v>
      </c>
      <c r="B206" s="12" t="s">
        <v>1305</v>
      </c>
      <c r="C206" s="12" t="s">
        <v>2102</v>
      </c>
      <c r="D206" s="12" t="s">
        <v>2103</v>
      </c>
      <c r="E206" s="12" t="n">
        <v>67</v>
      </c>
      <c r="F206" s="12" t="n">
        <v>11</v>
      </c>
      <c r="G206" s="15" t="n">
        <v>48900</v>
      </c>
      <c r="H206" s="15" t="n">
        <v>61000</v>
      </c>
      <c r="I206" s="12" t="s">
        <v>2941</v>
      </c>
      <c r="J206" s="17" t="n">
        <v>46448</v>
      </c>
      <c r="K206" s="12" t="s">
        <v>1111</v>
      </c>
      <c r="L206" s="12" t="n">
        <v>0</v>
      </c>
      <c r="M206" s="15" t="n">
        <f aca="false">E206*G206</f>
        <v>3276300</v>
      </c>
      <c r="N206" s="15" t="n">
        <f aca="false">E206*H206</f>
        <v>4087000</v>
      </c>
      <c r="O206" s="18" t="n">
        <f aca="false">IF(H206=0,"",(H206-G206)/H206)</f>
        <v>0.198360655737705</v>
      </c>
      <c r="P206" s="12" t="n">
        <f aca="false">IF(J206="","",J206-README!$C$4)</f>
        <v>126</v>
      </c>
      <c r="Q206" s="12" t="str">
        <f aca="false">IF(E206=0,"Out of stock",IF(E206&lt;=F206,"Low stock","OK"))</f>
        <v>OK</v>
      </c>
      <c r="R206" s="12" t="str">
        <f aca="false">IF(J206="","No expiry",IF(P206&lt;0,"Expired",IF(P206&lt;=30,"Expiring &lt;=30 days","OK")))</f>
        <v>OK</v>
      </c>
      <c r="S206" s="12"/>
    </row>
    <row r="207" customFormat="false" ht="15" hidden="false" customHeight="false" outlineLevel="0" collapsed="false">
      <c r="A207" s="12" t="s">
        <v>2942</v>
      </c>
      <c r="B207" s="12" t="s">
        <v>1305</v>
      </c>
      <c r="C207" s="12" t="s">
        <v>2105</v>
      </c>
      <c r="D207" s="12" t="s">
        <v>2106</v>
      </c>
      <c r="E207" s="12" t="n">
        <v>41</v>
      </c>
      <c r="F207" s="12" t="n">
        <v>11</v>
      </c>
      <c r="G207" s="15" t="n">
        <v>47300</v>
      </c>
      <c r="H207" s="15" t="n">
        <v>59000</v>
      </c>
      <c r="I207" s="12" t="s">
        <v>2943</v>
      </c>
      <c r="J207" s="17" t="n">
        <v>46379</v>
      </c>
      <c r="K207" s="12" t="s">
        <v>1120</v>
      </c>
      <c r="L207" s="12" t="n">
        <v>28</v>
      </c>
      <c r="M207" s="15" t="n">
        <f aca="false">E207*G207</f>
        <v>1939300</v>
      </c>
      <c r="N207" s="15" t="n">
        <f aca="false">E207*H207</f>
        <v>2419000</v>
      </c>
      <c r="O207" s="18" t="n">
        <f aca="false">IF(H207=0,"",(H207-G207)/H207)</f>
        <v>0.198305084745763</v>
      </c>
      <c r="P207" s="12" t="n">
        <f aca="false">IF(J207="","",J207-README!$C$4)</f>
        <v>57</v>
      </c>
      <c r="Q207" s="12" t="str">
        <f aca="false">IF(E207=0,"Out of stock",IF(E207&lt;=F207,"Low stock","OK"))</f>
        <v>OK</v>
      </c>
      <c r="R207" s="12" t="str">
        <f aca="false">IF(J207="","No expiry",IF(P207&lt;0,"Expired",IF(P207&lt;=30,"Expiring &lt;=30 days","OK")))</f>
        <v>OK</v>
      </c>
      <c r="S207" s="12"/>
    </row>
    <row r="208" customFormat="false" ht="15" hidden="false" customHeight="false" outlineLevel="0" collapsed="false">
      <c r="A208" s="12" t="s">
        <v>2944</v>
      </c>
      <c r="B208" s="12" t="s">
        <v>1305</v>
      </c>
      <c r="C208" s="12" t="s">
        <v>2108</v>
      </c>
      <c r="D208" s="12" t="s">
        <v>2109</v>
      </c>
      <c r="E208" s="12" t="n">
        <v>35</v>
      </c>
      <c r="F208" s="12" t="n">
        <v>11</v>
      </c>
      <c r="G208" s="15" t="n">
        <v>40800</v>
      </c>
      <c r="H208" s="15" t="n">
        <v>49000</v>
      </c>
      <c r="I208" s="12" t="s">
        <v>2945</v>
      </c>
      <c r="J208" s="17" t="n">
        <v>46461</v>
      </c>
      <c r="K208" s="12" t="s">
        <v>1120</v>
      </c>
      <c r="L208" s="12" t="n">
        <v>24</v>
      </c>
      <c r="M208" s="15" t="n">
        <f aca="false">E208*G208</f>
        <v>1428000</v>
      </c>
      <c r="N208" s="15" t="n">
        <f aca="false">E208*H208</f>
        <v>1715000</v>
      </c>
      <c r="O208" s="18" t="n">
        <f aca="false">IF(H208=0,"",(H208-G208)/H208)</f>
        <v>0.16734693877551</v>
      </c>
      <c r="P208" s="12" t="n">
        <f aca="false">IF(J208="","",J208-README!$C$4)</f>
        <v>139</v>
      </c>
      <c r="Q208" s="12" t="str">
        <f aca="false">IF(E208=0,"Out of stock",IF(E208&lt;=F208,"Low stock","OK"))</f>
        <v>OK</v>
      </c>
      <c r="R208" s="12" t="str">
        <f aca="false">IF(J208="","No expiry",IF(P208&lt;0,"Expired",IF(P208&lt;=30,"Expiring &lt;=30 days","OK")))</f>
        <v>OK</v>
      </c>
      <c r="S208" s="12"/>
    </row>
    <row r="209" customFormat="false" ht="15" hidden="false" customHeight="false" outlineLevel="0" collapsed="false">
      <c r="A209" s="12" t="s">
        <v>2946</v>
      </c>
      <c r="B209" s="12" t="s">
        <v>1305</v>
      </c>
      <c r="C209" s="12" t="s">
        <v>2114</v>
      </c>
      <c r="D209" s="12" t="s">
        <v>2115</v>
      </c>
      <c r="E209" s="12" t="n">
        <v>20</v>
      </c>
      <c r="F209" s="12" t="n">
        <v>11</v>
      </c>
      <c r="G209" s="15" t="n">
        <v>52800</v>
      </c>
      <c r="H209" s="15" t="n">
        <v>61000</v>
      </c>
      <c r="I209" s="12" t="s">
        <v>2947</v>
      </c>
      <c r="J209" s="17" t="n">
        <v>46378</v>
      </c>
      <c r="K209" s="12" t="s">
        <v>1111</v>
      </c>
      <c r="L209" s="12" t="n">
        <v>0</v>
      </c>
      <c r="M209" s="15" t="n">
        <f aca="false">E209*G209</f>
        <v>1056000</v>
      </c>
      <c r="N209" s="15" t="n">
        <f aca="false">E209*H209</f>
        <v>1220000</v>
      </c>
      <c r="O209" s="18" t="n">
        <f aca="false">IF(H209=0,"",(H209-G209)/H209)</f>
        <v>0.134426229508197</v>
      </c>
      <c r="P209" s="12" t="n">
        <f aca="false">IF(J209="","",J209-README!$C$4)</f>
        <v>56</v>
      </c>
      <c r="Q209" s="12" t="str">
        <f aca="false">IF(E209=0,"Out of stock",IF(E209&lt;=F209,"Low stock","OK"))</f>
        <v>OK</v>
      </c>
      <c r="R209" s="12" t="str">
        <f aca="false">IF(J209="","No expiry",IF(P209&lt;0,"Expired",IF(P209&lt;=30,"Expiring &lt;=30 days","OK")))</f>
        <v>OK</v>
      </c>
      <c r="S209" s="12"/>
    </row>
    <row r="210" customFormat="false" ht="15" hidden="false" customHeight="false" outlineLevel="0" collapsed="false">
      <c r="A210" s="12" t="s">
        <v>2948</v>
      </c>
      <c r="B210" s="12" t="s">
        <v>1305</v>
      </c>
      <c r="C210" s="12" t="s">
        <v>2120</v>
      </c>
      <c r="D210" s="12" t="s">
        <v>2122</v>
      </c>
      <c r="E210" s="12" t="n">
        <v>57</v>
      </c>
      <c r="F210" s="12" t="n">
        <v>11</v>
      </c>
      <c r="G210" s="15" t="n">
        <v>55100</v>
      </c>
      <c r="H210" s="15" t="n">
        <v>66500</v>
      </c>
      <c r="I210" s="12" t="s">
        <v>2949</v>
      </c>
      <c r="J210" s="17" t="n">
        <v>46394</v>
      </c>
      <c r="K210" s="12" t="s">
        <v>1120</v>
      </c>
      <c r="L210" s="12" t="n">
        <v>39</v>
      </c>
      <c r="M210" s="15" t="n">
        <f aca="false">E210*G210</f>
        <v>3140700</v>
      </c>
      <c r="N210" s="15" t="n">
        <f aca="false">E210*H210</f>
        <v>3790500</v>
      </c>
      <c r="O210" s="18" t="n">
        <f aca="false">IF(H210=0,"",(H210-G210)/H210)</f>
        <v>0.171428571428571</v>
      </c>
      <c r="P210" s="12" t="n">
        <f aca="false">IF(J210="","",J210-README!$C$4)</f>
        <v>72</v>
      </c>
      <c r="Q210" s="12" t="str">
        <f aca="false">IF(E210=0,"Out of stock",IF(E210&lt;=F210,"Low stock","OK"))</f>
        <v>OK</v>
      </c>
      <c r="R210" s="12" t="str">
        <f aca="false">IF(J210="","No expiry",IF(P210&lt;0,"Expired",IF(P210&lt;=30,"Expiring &lt;=30 days","OK")))</f>
        <v>OK</v>
      </c>
      <c r="S210" s="12"/>
    </row>
    <row r="211" customFormat="false" ht="15" hidden="false" customHeight="false" outlineLevel="0" collapsed="false">
      <c r="A211" s="12" t="s">
        <v>2950</v>
      </c>
      <c r="B211" s="12" t="s">
        <v>1305</v>
      </c>
      <c r="C211" s="12" t="s">
        <v>2124</v>
      </c>
      <c r="D211" s="12" t="s">
        <v>2125</v>
      </c>
      <c r="E211" s="12" t="n">
        <v>33</v>
      </c>
      <c r="F211" s="12" t="n">
        <v>11</v>
      </c>
      <c r="G211" s="15" t="n">
        <v>38400</v>
      </c>
      <c r="H211" s="15" t="n">
        <v>46000</v>
      </c>
      <c r="I211" s="12" t="s">
        <v>2951</v>
      </c>
      <c r="J211" s="17" t="n">
        <v>46395</v>
      </c>
      <c r="K211" s="12" t="s">
        <v>1111</v>
      </c>
      <c r="L211" s="12" t="n">
        <v>0</v>
      </c>
      <c r="M211" s="15" t="n">
        <f aca="false">E211*G211</f>
        <v>1267200</v>
      </c>
      <c r="N211" s="15" t="n">
        <f aca="false">E211*H211</f>
        <v>1518000</v>
      </c>
      <c r="O211" s="18" t="n">
        <f aca="false">IF(H211=0,"",(H211-G211)/H211)</f>
        <v>0.165217391304348</v>
      </c>
      <c r="P211" s="12" t="n">
        <f aca="false">IF(J211="","",J211-README!$C$4)</f>
        <v>73</v>
      </c>
      <c r="Q211" s="12" t="str">
        <f aca="false">IF(E211=0,"Out of stock",IF(E211&lt;=F211,"Low stock","OK"))</f>
        <v>OK</v>
      </c>
      <c r="R211" s="12" t="str">
        <f aca="false">IF(J211="","No expiry",IF(P211&lt;0,"Expired",IF(P211&lt;=30,"Expiring &lt;=30 days","OK")))</f>
        <v>OK</v>
      </c>
      <c r="S211" s="12"/>
    </row>
    <row r="212" customFormat="false" ht="15" hidden="false" customHeight="false" outlineLevel="0" collapsed="false">
      <c r="A212" s="12" t="s">
        <v>2952</v>
      </c>
      <c r="B212" s="12" t="s">
        <v>1305</v>
      </c>
      <c r="C212" s="12" t="s">
        <v>2139</v>
      </c>
      <c r="D212" s="12" t="s">
        <v>2140</v>
      </c>
      <c r="E212" s="12" t="n">
        <v>28</v>
      </c>
      <c r="F212" s="12" t="n">
        <v>11</v>
      </c>
      <c r="G212" s="15" t="n">
        <v>34600</v>
      </c>
      <c r="H212" s="15" t="n">
        <v>39000</v>
      </c>
      <c r="I212" s="12" t="s">
        <v>2953</v>
      </c>
      <c r="J212" s="17" t="n">
        <v>46460</v>
      </c>
      <c r="K212" s="12" t="s">
        <v>1120</v>
      </c>
      <c r="L212" s="12" t="n">
        <v>19</v>
      </c>
      <c r="M212" s="15" t="n">
        <f aca="false">E212*G212</f>
        <v>968800</v>
      </c>
      <c r="N212" s="15" t="n">
        <f aca="false">E212*H212</f>
        <v>1092000</v>
      </c>
      <c r="O212" s="18" t="n">
        <f aca="false">IF(H212=0,"",(H212-G212)/H212)</f>
        <v>0.112820512820513</v>
      </c>
      <c r="P212" s="12" t="n">
        <f aca="false">IF(J212="","",J212-README!$C$4)</f>
        <v>138</v>
      </c>
      <c r="Q212" s="12" t="str">
        <f aca="false">IF(E212=0,"Out of stock",IF(E212&lt;=F212,"Low stock","OK"))</f>
        <v>OK</v>
      </c>
      <c r="R212" s="12" t="str">
        <f aca="false">IF(J212="","No expiry",IF(P212&lt;0,"Expired",IF(P212&lt;=30,"Expiring &lt;=30 days","OK")))</f>
        <v>OK</v>
      </c>
      <c r="S212" s="12"/>
    </row>
    <row r="213" customFormat="false" ht="15" hidden="false" customHeight="false" outlineLevel="0" collapsed="false">
      <c r="A213" s="12" t="s">
        <v>2954</v>
      </c>
      <c r="B213" s="12" t="s">
        <v>1305</v>
      </c>
      <c r="C213" s="12" t="s">
        <v>2142</v>
      </c>
      <c r="D213" s="12" t="s">
        <v>2143</v>
      </c>
      <c r="E213" s="12" t="n">
        <v>34</v>
      </c>
      <c r="F213" s="12" t="n">
        <v>11</v>
      </c>
      <c r="G213" s="15" t="n">
        <v>41200</v>
      </c>
      <c r="H213" s="15" t="n">
        <v>50000</v>
      </c>
      <c r="I213" s="12" t="s">
        <v>2955</v>
      </c>
      <c r="J213" s="17" t="n">
        <v>46409</v>
      </c>
      <c r="K213" s="12" t="s">
        <v>1120</v>
      </c>
      <c r="L213" s="12" t="n">
        <v>23</v>
      </c>
      <c r="M213" s="15" t="n">
        <f aca="false">E213*G213</f>
        <v>1400800</v>
      </c>
      <c r="N213" s="15" t="n">
        <f aca="false">E213*H213</f>
        <v>1700000</v>
      </c>
      <c r="O213" s="18" t="n">
        <f aca="false">IF(H213=0,"",(H213-G213)/H213)</f>
        <v>0.176</v>
      </c>
      <c r="P213" s="12" t="n">
        <f aca="false">IF(J213="","",J213-README!$C$4)</f>
        <v>87</v>
      </c>
      <c r="Q213" s="12" t="str">
        <f aca="false">IF(E213=0,"Out of stock",IF(E213&lt;=F213,"Low stock","OK"))</f>
        <v>OK</v>
      </c>
      <c r="R213" s="12" t="str">
        <f aca="false">IF(J213="","No expiry",IF(P213&lt;0,"Expired",IF(P213&lt;=30,"Expiring &lt;=30 days","OK")))</f>
        <v>OK</v>
      </c>
      <c r="S213" s="12"/>
    </row>
    <row r="214" customFormat="false" ht="15" hidden="false" customHeight="false" outlineLevel="0" collapsed="false">
      <c r="A214" s="12" t="s">
        <v>2956</v>
      </c>
      <c r="B214" s="12" t="s">
        <v>1305</v>
      </c>
      <c r="C214" s="12" t="s">
        <v>2151</v>
      </c>
      <c r="D214" s="12" t="s">
        <v>2152</v>
      </c>
      <c r="E214" s="12" t="n">
        <v>35</v>
      </c>
      <c r="F214" s="12" t="n">
        <v>11</v>
      </c>
      <c r="G214" s="15" t="n">
        <v>83900</v>
      </c>
      <c r="H214" s="15" t="n">
        <v>94000</v>
      </c>
      <c r="I214" s="12" t="s">
        <v>2957</v>
      </c>
      <c r="J214" s="17" t="n">
        <v>46439</v>
      </c>
      <c r="K214" s="12" t="s">
        <v>1120</v>
      </c>
      <c r="L214" s="12" t="n">
        <v>24</v>
      </c>
      <c r="M214" s="15" t="n">
        <f aca="false">E214*G214</f>
        <v>2936500</v>
      </c>
      <c r="N214" s="15" t="n">
        <f aca="false">E214*H214</f>
        <v>3290000</v>
      </c>
      <c r="O214" s="18" t="n">
        <f aca="false">IF(H214=0,"",(H214-G214)/H214)</f>
        <v>0.107446808510638</v>
      </c>
      <c r="P214" s="12" t="n">
        <f aca="false">IF(J214="","",J214-README!$C$4)</f>
        <v>117</v>
      </c>
      <c r="Q214" s="12" t="str">
        <f aca="false">IF(E214=0,"Out of stock",IF(E214&lt;=F214,"Low stock","OK"))</f>
        <v>OK</v>
      </c>
      <c r="R214" s="12" t="str">
        <f aca="false">IF(J214="","No expiry",IF(P214&lt;0,"Expired",IF(P214&lt;=30,"Expiring &lt;=30 days","OK")))</f>
        <v>OK</v>
      </c>
      <c r="S214" s="12"/>
    </row>
    <row r="215" customFormat="false" ht="15" hidden="false" customHeight="false" outlineLevel="0" collapsed="false">
      <c r="A215" s="12" t="s">
        <v>2958</v>
      </c>
      <c r="B215" s="12" t="s">
        <v>1305</v>
      </c>
      <c r="C215" s="12" t="s">
        <v>2154</v>
      </c>
      <c r="D215" s="12" t="s">
        <v>2155</v>
      </c>
      <c r="E215" s="12" t="n">
        <v>74</v>
      </c>
      <c r="F215" s="12" t="n">
        <v>11</v>
      </c>
      <c r="G215" s="15" t="n">
        <v>58300</v>
      </c>
      <c r="H215" s="15" t="n">
        <v>71500</v>
      </c>
      <c r="I215" s="12" t="s">
        <v>2959</v>
      </c>
      <c r="J215" s="17" t="n">
        <v>46442</v>
      </c>
      <c r="K215" s="12" t="s">
        <v>1120</v>
      </c>
      <c r="L215" s="12" t="n">
        <v>51</v>
      </c>
      <c r="M215" s="15" t="n">
        <f aca="false">E215*G215</f>
        <v>4314200</v>
      </c>
      <c r="N215" s="15" t="n">
        <f aca="false">E215*H215</f>
        <v>5291000</v>
      </c>
      <c r="O215" s="18" t="n">
        <f aca="false">IF(H215=0,"",(H215-G215)/H215)</f>
        <v>0.184615384615385</v>
      </c>
      <c r="P215" s="12" t="n">
        <f aca="false">IF(J215="","",J215-README!$C$4)</f>
        <v>120</v>
      </c>
      <c r="Q215" s="12" t="str">
        <f aca="false">IF(E215=0,"Out of stock",IF(E215&lt;=F215,"Low stock","OK"))</f>
        <v>OK</v>
      </c>
      <c r="R215" s="12" t="str">
        <f aca="false">IF(J215="","No expiry",IF(P215&lt;0,"Expired",IF(P215&lt;=30,"Expiring &lt;=30 days","OK")))</f>
        <v>OK</v>
      </c>
      <c r="S215" s="12"/>
    </row>
    <row r="216" customFormat="false" ht="15" hidden="false" customHeight="false" outlineLevel="0" collapsed="false">
      <c r="A216" s="12" t="s">
        <v>2960</v>
      </c>
      <c r="B216" s="12" t="s">
        <v>1305</v>
      </c>
      <c r="C216" s="12" t="s">
        <v>2157</v>
      </c>
      <c r="D216" s="12" t="s">
        <v>2159</v>
      </c>
      <c r="E216" s="12" t="n">
        <v>27</v>
      </c>
      <c r="F216" s="12" t="n">
        <v>8</v>
      </c>
      <c r="G216" s="15" t="n">
        <v>8200</v>
      </c>
      <c r="H216" s="15" t="n">
        <v>9200</v>
      </c>
      <c r="I216" s="12" t="s">
        <v>2961</v>
      </c>
      <c r="J216" s="17" t="n">
        <v>46630</v>
      </c>
      <c r="K216" s="12" t="s">
        <v>1120</v>
      </c>
      <c r="L216" s="12" t="n">
        <v>18</v>
      </c>
      <c r="M216" s="15" t="n">
        <f aca="false">E216*G216</f>
        <v>221400</v>
      </c>
      <c r="N216" s="15" t="n">
        <f aca="false">E216*H216</f>
        <v>248400</v>
      </c>
      <c r="O216" s="18" t="n">
        <f aca="false">IF(H216=0,"",(H216-G216)/H216)</f>
        <v>0.108695652173913</v>
      </c>
      <c r="P216" s="12" t="n">
        <f aca="false">IF(J216="","",J216-README!$C$4)</f>
        <v>308</v>
      </c>
      <c r="Q216" s="12" t="str">
        <f aca="false">IF(E216=0,"Out of stock",IF(E216&lt;=F216,"Low stock","OK"))</f>
        <v>OK</v>
      </c>
      <c r="R216" s="12" t="str">
        <f aca="false">IF(J216="","No expiry",IF(P216&lt;0,"Expired",IF(P216&lt;=30,"Expiring &lt;=30 days","OK")))</f>
        <v>OK</v>
      </c>
      <c r="S216" s="12"/>
    </row>
    <row r="217" customFormat="false" ht="15" hidden="false" customHeight="false" outlineLevel="0" collapsed="false">
      <c r="A217" s="12" t="s">
        <v>2962</v>
      </c>
      <c r="B217" s="12" t="s">
        <v>1305</v>
      </c>
      <c r="C217" s="12" t="s">
        <v>2161</v>
      </c>
      <c r="D217" s="12" t="s">
        <v>2163</v>
      </c>
      <c r="E217" s="12" t="n">
        <v>20</v>
      </c>
      <c r="F217" s="12" t="n">
        <v>11</v>
      </c>
      <c r="G217" s="15" t="n">
        <v>36000</v>
      </c>
      <c r="H217" s="15" t="n">
        <v>43000</v>
      </c>
      <c r="I217" s="12" t="s">
        <v>2963</v>
      </c>
      <c r="J217" s="17" t="n">
        <v>46521</v>
      </c>
      <c r="K217" s="12" t="s">
        <v>1120</v>
      </c>
      <c r="L217" s="12" t="n">
        <v>14</v>
      </c>
      <c r="M217" s="15" t="n">
        <f aca="false">E217*G217</f>
        <v>720000</v>
      </c>
      <c r="N217" s="15" t="n">
        <f aca="false">E217*H217</f>
        <v>860000</v>
      </c>
      <c r="O217" s="18" t="n">
        <f aca="false">IF(H217=0,"",(H217-G217)/H217)</f>
        <v>0.162790697674419</v>
      </c>
      <c r="P217" s="12" t="n">
        <f aca="false">IF(J217="","",J217-README!$C$4)</f>
        <v>199</v>
      </c>
      <c r="Q217" s="12" t="str">
        <f aca="false">IF(E217=0,"Out of stock",IF(E217&lt;=F217,"Low stock","OK"))</f>
        <v>OK</v>
      </c>
      <c r="R217" s="12" t="str">
        <f aca="false">IF(J217="","No expiry",IF(P217&lt;0,"Expired",IF(P217&lt;=30,"Expiring &lt;=30 days","OK")))</f>
        <v>OK</v>
      </c>
      <c r="S217" s="12"/>
    </row>
    <row r="218" customFormat="false" ht="15" hidden="false" customHeight="false" outlineLevel="0" collapsed="false">
      <c r="A218" s="12" t="s">
        <v>2964</v>
      </c>
      <c r="B218" s="12" t="s">
        <v>1305</v>
      </c>
      <c r="C218" s="12" t="s">
        <v>2165</v>
      </c>
      <c r="D218" s="12" t="s">
        <v>2166</v>
      </c>
      <c r="E218" s="12" t="n">
        <v>13</v>
      </c>
      <c r="F218" s="12" t="n">
        <v>8</v>
      </c>
      <c r="G218" s="15" t="n">
        <v>7200</v>
      </c>
      <c r="H218" s="15" t="n">
        <v>8700</v>
      </c>
      <c r="I218" s="12" t="s">
        <v>2965</v>
      </c>
      <c r="J218" s="17" t="n">
        <v>46717</v>
      </c>
      <c r="K218" s="12" t="s">
        <v>1120</v>
      </c>
      <c r="L218" s="12" t="n">
        <v>9</v>
      </c>
      <c r="M218" s="15" t="n">
        <f aca="false">E218*G218</f>
        <v>93600</v>
      </c>
      <c r="N218" s="15" t="n">
        <f aca="false">E218*H218</f>
        <v>113100</v>
      </c>
      <c r="O218" s="18" t="n">
        <f aca="false">IF(H218=0,"",(H218-G218)/H218)</f>
        <v>0.172413793103448</v>
      </c>
      <c r="P218" s="12" t="n">
        <f aca="false">IF(J218="","",J218-README!$C$4)</f>
        <v>395</v>
      </c>
      <c r="Q218" s="12" t="str">
        <f aca="false">IF(E218=0,"Out of stock",IF(E218&lt;=F218,"Low stock","OK"))</f>
        <v>OK</v>
      </c>
      <c r="R218" s="12" t="str">
        <f aca="false">IF(J218="","No expiry",IF(P218&lt;0,"Expired",IF(P218&lt;=30,"Expiring &lt;=30 days","OK")))</f>
        <v>OK</v>
      </c>
      <c r="S218" s="12"/>
    </row>
    <row r="219" customFormat="false" ht="15" hidden="false" customHeight="false" outlineLevel="0" collapsed="false">
      <c r="A219" s="12" t="s">
        <v>2966</v>
      </c>
      <c r="B219" s="12" t="s">
        <v>1305</v>
      </c>
      <c r="C219" s="12" t="s">
        <v>2168</v>
      </c>
      <c r="D219" s="12" t="s">
        <v>2169</v>
      </c>
      <c r="E219" s="12" t="n">
        <v>22</v>
      </c>
      <c r="F219" s="12" t="n">
        <v>11</v>
      </c>
      <c r="G219" s="15" t="n">
        <v>36400</v>
      </c>
      <c r="H219" s="15" t="n">
        <v>41000</v>
      </c>
      <c r="I219" s="12" t="s">
        <v>2967</v>
      </c>
      <c r="J219" s="17" t="n">
        <v>46597</v>
      </c>
      <c r="K219" s="12" t="s">
        <v>1111</v>
      </c>
      <c r="L219" s="12" t="n">
        <v>0</v>
      </c>
      <c r="M219" s="15" t="n">
        <f aca="false">E219*G219</f>
        <v>800800</v>
      </c>
      <c r="N219" s="15" t="n">
        <f aca="false">E219*H219</f>
        <v>902000</v>
      </c>
      <c r="O219" s="18" t="n">
        <f aca="false">IF(H219=0,"",(H219-G219)/H219)</f>
        <v>0.11219512195122</v>
      </c>
      <c r="P219" s="12" t="n">
        <f aca="false">IF(J219="","",J219-README!$C$4)</f>
        <v>275</v>
      </c>
      <c r="Q219" s="12" t="str">
        <f aca="false">IF(E219=0,"Out of stock",IF(E219&lt;=F219,"Low stock","OK"))</f>
        <v>OK</v>
      </c>
      <c r="R219" s="12" t="str">
        <f aca="false">IF(J219="","No expiry",IF(P219&lt;0,"Expired",IF(P219&lt;=30,"Expiring &lt;=30 days","OK")))</f>
        <v>OK</v>
      </c>
      <c r="S219" s="12"/>
    </row>
    <row r="220" customFormat="false" ht="15" hidden="false" customHeight="false" outlineLevel="0" collapsed="false">
      <c r="A220" s="12" t="s">
        <v>2968</v>
      </c>
      <c r="B220" s="12" t="s">
        <v>1305</v>
      </c>
      <c r="C220" s="12" t="s">
        <v>2171</v>
      </c>
      <c r="D220" s="12" t="s">
        <v>2172</v>
      </c>
      <c r="E220" s="12" t="n">
        <v>43</v>
      </c>
      <c r="F220" s="12" t="n">
        <v>8</v>
      </c>
      <c r="G220" s="15" t="n">
        <v>7000</v>
      </c>
      <c r="H220" s="15" t="n">
        <v>8700</v>
      </c>
      <c r="I220" s="12" t="s">
        <v>2969</v>
      </c>
      <c r="J220" s="17" t="n">
        <v>46510</v>
      </c>
      <c r="K220" s="12" t="s">
        <v>1120</v>
      </c>
      <c r="L220" s="12" t="n">
        <v>30</v>
      </c>
      <c r="M220" s="15" t="n">
        <f aca="false">E220*G220</f>
        <v>301000</v>
      </c>
      <c r="N220" s="15" t="n">
        <f aca="false">E220*H220</f>
        <v>374100</v>
      </c>
      <c r="O220" s="18" t="n">
        <f aca="false">IF(H220=0,"",(H220-G220)/H220)</f>
        <v>0.195402298850575</v>
      </c>
      <c r="P220" s="12" t="n">
        <f aca="false">IF(J220="","",J220-README!$C$4)</f>
        <v>188</v>
      </c>
      <c r="Q220" s="12" t="str">
        <f aca="false">IF(E220=0,"Out of stock",IF(E220&lt;=F220,"Low stock","OK"))</f>
        <v>OK</v>
      </c>
      <c r="R220" s="12" t="str">
        <f aca="false">IF(J220="","No expiry",IF(P220&lt;0,"Expired",IF(P220&lt;=30,"Expiring &lt;=30 days","OK")))</f>
        <v>OK</v>
      </c>
      <c r="S220" s="12"/>
    </row>
    <row r="221" customFormat="false" ht="15" hidden="false" customHeight="false" outlineLevel="0" collapsed="false">
      <c r="A221" s="12" t="s">
        <v>2970</v>
      </c>
      <c r="B221" s="12" t="s">
        <v>1305</v>
      </c>
      <c r="C221" s="12" t="s">
        <v>2174</v>
      </c>
      <c r="D221" s="12" t="s">
        <v>2175</v>
      </c>
      <c r="E221" s="12" t="n">
        <v>22</v>
      </c>
      <c r="F221" s="12" t="n">
        <v>11</v>
      </c>
      <c r="G221" s="15" t="n">
        <v>35200</v>
      </c>
      <c r="H221" s="15" t="n">
        <v>41000</v>
      </c>
      <c r="I221" s="12" t="s">
        <v>2971</v>
      </c>
      <c r="J221" s="17" t="n">
        <v>46709</v>
      </c>
      <c r="K221" s="12" t="s">
        <v>1111</v>
      </c>
      <c r="L221" s="12" t="n">
        <v>0</v>
      </c>
      <c r="M221" s="15" t="n">
        <f aca="false">E221*G221</f>
        <v>774400</v>
      </c>
      <c r="N221" s="15" t="n">
        <f aca="false">E221*H221</f>
        <v>902000</v>
      </c>
      <c r="O221" s="18" t="n">
        <f aca="false">IF(H221=0,"",(H221-G221)/H221)</f>
        <v>0.141463414634146</v>
      </c>
      <c r="P221" s="12" t="n">
        <f aca="false">IF(J221="","",J221-README!$C$4)</f>
        <v>387</v>
      </c>
      <c r="Q221" s="12" t="str">
        <f aca="false">IF(E221=0,"Out of stock",IF(E221&lt;=F221,"Low stock","OK"))</f>
        <v>OK</v>
      </c>
      <c r="R221" s="12" t="str">
        <f aca="false">IF(J221="","No expiry",IF(P221&lt;0,"Expired",IF(P221&lt;=30,"Expiring &lt;=30 days","OK")))</f>
        <v>OK</v>
      </c>
      <c r="S221" s="12"/>
    </row>
    <row r="222" customFormat="false" ht="15" hidden="false" customHeight="false" outlineLevel="0" collapsed="false">
      <c r="A222" s="12" t="s">
        <v>2972</v>
      </c>
      <c r="B222" s="12" t="s">
        <v>1305</v>
      </c>
      <c r="C222" s="12" t="s">
        <v>2177</v>
      </c>
      <c r="D222" s="12" t="s">
        <v>2178</v>
      </c>
      <c r="E222" s="12" t="n">
        <v>36</v>
      </c>
      <c r="F222" s="12" t="n">
        <v>11</v>
      </c>
      <c r="G222" s="15" t="n">
        <v>14800</v>
      </c>
      <c r="H222" s="15" t="n">
        <v>16500</v>
      </c>
      <c r="I222" s="12" t="s">
        <v>2973</v>
      </c>
      <c r="J222" s="17" t="n">
        <v>46394</v>
      </c>
      <c r="K222" s="12" t="s">
        <v>1120</v>
      </c>
      <c r="L222" s="12" t="n">
        <v>25</v>
      </c>
      <c r="M222" s="15" t="n">
        <f aca="false">E222*G222</f>
        <v>532800</v>
      </c>
      <c r="N222" s="15" t="n">
        <f aca="false">E222*H222</f>
        <v>594000</v>
      </c>
      <c r="O222" s="18" t="n">
        <f aca="false">IF(H222=0,"",(H222-G222)/H222)</f>
        <v>0.103030303030303</v>
      </c>
      <c r="P222" s="12" t="n">
        <f aca="false">IF(J222="","",J222-README!$C$4)</f>
        <v>72</v>
      </c>
      <c r="Q222" s="12" t="str">
        <f aca="false">IF(E222=0,"Out of stock",IF(E222&lt;=F222,"Low stock","OK"))</f>
        <v>OK</v>
      </c>
      <c r="R222" s="12" t="str">
        <f aca="false">IF(J222="","No expiry",IF(P222&lt;0,"Expired",IF(P222&lt;=30,"Expiring &lt;=30 days","OK")))</f>
        <v>OK</v>
      </c>
      <c r="S222" s="12"/>
    </row>
    <row r="223" customFormat="false" ht="15" hidden="false" customHeight="false" outlineLevel="0" collapsed="false">
      <c r="A223" s="12" t="s">
        <v>2974</v>
      </c>
      <c r="B223" s="12" t="s">
        <v>1305</v>
      </c>
      <c r="C223" s="12" t="s">
        <v>2180</v>
      </c>
      <c r="D223" s="12" t="s">
        <v>2181</v>
      </c>
      <c r="E223" s="12" t="n">
        <v>56</v>
      </c>
      <c r="F223" s="12" t="n">
        <v>11</v>
      </c>
      <c r="G223" s="15" t="n">
        <v>30500</v>
      </c>
      <c r="H223" s="15" t="n">
        <v>35000</v>
      </c>
      <c r="I223" s="12" t="s">
        <v>2975</v>
      </c>
      <c r="J223" s="17" t="n">
        <v>46467</v>
      </c>
      <c r="K223" s="12" t="s">
        <v>1120</v>
      </c>
      <c r="L223" s="12" t="n">
        <v>39</v>
      </c>
      <c r="M223" s="15" t="n">
        <f aca="false">E223*G223</f>
        <v>1708000</v>
      </c>
      <c r="N223" s="15" t="n">
        <f aca="false">E223*H223</f>
        <v>1960000</v>
      </c>
      <c r="O223" s="18" t="n">
        <f aca="false">IF(H223=0,"",(H223-G223)/H223)</f>
        <v>0.128571428571429</v>
      </c>
      <c r="P223" s="12" t="n">
        <f aca="false">IF(J223="","",J223-README!$C$4)</f>
        <v>145</v>
      </c>
      <c r="Q223" s="12" t="str">
        <f aca="false">IF(E223=0,"Out of stock",IF(E223&lt;=F223,"Low stock","OK"))</f>
        <v>OK</v>
      </c>
      <c r="R223" s="12" t="str">
        <f aca="false">IF(J223="","No expiry",IF(P223&lt;0,"Expired",IF(P223&lt;=30,"Expiring &lt;=30 days","OK")))</f>
        <v>OK</v>
      </c>
      <c r="S223" s="12"/>
    </row>
    <row r="224" customFormat="false" ht="15" hidden="false" customHeight="false" outlineLevel="0" collapsed="false">
      <c r="A224" s="12" t="s">
        <v>2976</v>
      </c>
      <c r="B224" s="12" t="s">
        <v>1305</v>
      </c>
      <c r="C224" s="12" t="s">
        <v>2183</v>
      </c>
      <c r="D224" s="12" t="s">
        <v>2184</v>
      </c>
      <c r="E224" s="12" t="n">
        <v>19</v>
      </c>
      <c r="F224" s="12" t="n">
        <v>11</v>
      </c>
      <c r="G224" s="15" t="n">
        <v>79500</v>
      </c>
      <c r="H224" s="15" t="n">
        <v>96500</v>
      </c>
      <c r="I224" s="12" t="s">
        <v>2977</v>
      </c>
      <c r="J224" s="17" t="n">
        <v>46461</v>
      </c>
      <c r="K224" s="12" t="s">
        <v>1111</v>
      </c>
      <c r="L224" s="12" t="n">
        <v>0</v>
      </c>
      <c r="M224" s="15" t="n">
        <f aca="false">E224*G224</f>
        <v>1510500</v>
      </c>
      <c r="N224" s="15" t="n">
        <f aca="false">E224*H224</f>
        <v>1833500</v>
      </c>
      <c r="O224" s="18" t="n">
        <f aca="false">IF(H224=0,"",(H224-G224)/H224)</f>
        <v>0.176165803108808</v>
      </c>
      <c r="P224" s="12" t="n">
        <f aca="false">IF(J224="","",J224-README!$C$4)</f>
        <v>139</v>
      </c>
      <c r="Q224" s="12" t="str">
        <f aca="false">IF(E224=0,"Out of stock",IF(E224&lt;=F224,"Low stock","OK"))</f>
        <v>OK</v>
      </c>
      <c r="R224" s="12" t="str">
        <f aca="false">IF(J224="","No expiry",IF(P224&lt;0,"Expired",IF(P224&lt;=30,"Expiring &lt;=30 days","OK")))</f>
        <v>OK</v>
      </c>
      <c r="S224" s="12"/>
    </row>
    <row r="225" customFormat="false" ht="15" hidden="false" customHeight="false" outlineLevel="0" collapsed="false">
      <c r="A225" s="12" t="s">
        <v>2978</v>
      </c>
      <c r="B225" s="12" t="s">
        <v>1305</v>
      </c>
      <c r="C225" s="12" t="s">
        <v>2186</v>
      </c>
      <c r="D225" s="12" t="s">
        <v>2187</v>
      </c>
      <c r="E225" s="12" t="n">
        <v>35</v>
      </c>
      <c r="F225" s="12" t="n">
        <v>11</v>
      </c>
      <c r="G225" s="15" t="n">
        <v>48500</v>
      </c>
      <c r="H225" s="15" t="n">
        <v>57000</v>
      </c>
      <c r="I225" s="12" t="s">
        <v>2979</v>
      </c>
      <c r="J225" s="17" t="n">
        <v>46497</v>
      </c>
      <c r="K225" s="12" t="s">
        <v>1120</v>
      </c>
      <c r="L225" s="12" t="n">
        <v>24</v>
      </c>
      <c r="M225" s="15" t="n">
        <f aca="false">E225*G225</f>
        <v>1697500</v>
      </c>
      <c r="N225" s="15" t="n">
        <f aca="false">E225*H225</f>
        <v>1995000</v>
      </c>
      <c r="O225" s="18" t="n">
        <f aca="false">IF(H225=0,"",(H225-G225)/H225)</f>
        <v>0.149122807017544</v>
      </c>
      <c r="P225" s="12" t="n">
        <f aca="false">IF(J225="","",J225-README!$C$4)</f>
        <v>175</v>
      </c>
      <c r="Q225" s="12" t="str">
        <f aca="false">IF(E225=0,"Out of stock",IF(E225&lt;=F225,"Low stock","OK"))</f>
        <v>OK</v>
      </c>
      <c r="R225" s="12" t="str">
        <f aca="false">IF(J225="","No expiry",IF(P225&lt;0,"Expired",IF(P225&lt;=30,"Expiring &lt;=30 days","OK")))</f>
        <v>OK</v>
      </c>
      <c r="S225" s="12"/>
    </row>
    <row r="226" customFormat="false" ht="15" hidden="false" customHeight="false" outlineLevel="0" collapsed="false">
      <c r="A226" s="12" t="s">
        <v>2980</v>
      </c>
      <c r="B226" s="12" t="s">
        <v>1305</v>
      </c>
      <c r="C226" s="12" t="s">
        <v>2189</v>
      </c>
      <c r="D226" s="12" t="s">
        <v>2190</v>
      </c>
      <c r="E226" s="12" t="n">
        <v>17</v>
      </c>
      <c r="F226" s="12" t="n">
        <v>11</v>
      </c>
      <c r="G226" s="15" t="n">
        <v>92900</v>
      </c>
      <c r="H226" s="15" t="n">
        <v>110500</v>
      </c>
      <c r="I226" s="12" t="s">
        <v>2981</v>
      </c>
      <c r="J226" s="17" t="n">
        <v>46457</v>
      </c>
      <c r="K226" s="12" t="s">
        <v>1120</v>
      </c>
      <c r="L226" s="12" t="n">
        <v>11</v>
      </c>
      <c r="M226" s="15" t="n">
        <f aca="false">E226*G226</f>
        <v>1579300</v>
      </c>
      <c r="N226" s="15" t="n">
        <f aca="false">E226*H226</f>
        <v>1878500</v>
      </c>
      <c r="O226" s="18" t="n">
        <f aca="false">IF(H226=0,"",(H226-G226)/H226)</f>
        <v>0.159276018099548</v>
      </c>
      <c r="P226" s="12" t="n">
        <f aca="false">IF(J226="","",J226-README!$C$4)</f>
        <v>135</v>
      </c>
      <c r="Q226" s="12" t="str">
        <f aca="false">IF(E226=0,"Out of stock",IF(E226&lt;=F226,"Low stock","OK"))</f>
        <v>OK</v>
      </c>
      <c r="R226" s="12" t="str">
        <f aca="false">IF(J226="","No expiry",IF(P226&lt;0,"Expired",IF(P226&lt;=30,"Expiring &lt;=30 days","OK")))</f>
        <v>OK</v>
      </c>
      <c r="S226" s="12"/>
    </row>
    <row r="227" customFormat="false" ht="15" hidden="false" customHeight="false" outlineLevel="0" collapsed="false">
      <c r="A227" s="12" t="s">
        <v>2982</v>
      </c>
      <c r="B227" s="12" t="s">
        <v>1305</v>
      </c>
      <c r="C227" s="12" t="s">
        <v>2192</v>
      </c>
      <c r="D227" s="12" t="s">
        <v>2193</v>
      </c>
      <c r="E227" s="12" t="n">
        <v>60</v>
      </c>
      <c r="F227" s="12" t="n">
        <v>11</v>
      </c>
      <c r="G227" s="15" t="n">
        <v>11200</v>
      </c>
      <c r="H227" s="15" t="n">
        <v>14000</v>
      </c>
      <c r="I227" s="12" t="s">
        <v>2983</v>
      </c>
      <c r="J227" s="17" t="n">
        <v>46471</v>
      </c>
      <c r="K227" s="12" t="s">
        <v>1120</v>
      </c>
      <c r="L227" s="12" t="n">
        <v>42</v>
      </c>
      <c r="M227" s="15" t="n">
        <f aca="false">E227*G227</f>
        <v>672000</v>
      </c>
      <c r="N227" s="15" t="n">
        <f aca="false">E227*H227</f>
        <v>840000</v>
      </c>
      <c r="O227" s="18" t="n">
        <f aca="false">IF(H227=0,"",(H227-G227)/H227)</f>
        <v>0.2</v>
      </c>
      <c r="P227" s="12" t="n">
        <f aca="false">IF(J227="","",J227-README!$C$4)</f>
        <v>149</v>
      </c>
      <c r="Q227" s="12" t="str">
        <f aca="false">IF(E227=0,"Out of stock",IF(E227&lt;=F227,"Low stock","OK"))</f>
        <v>OK</v>
      </c>
      <c r="R227" s="12" t="str">
        <f aca="false">IF(J227="","No expiry",IF(P227&lt;0,"Expired",IF(P227&lt;=30,"Expiring &lt;=30 days","OK")))</f>
        <v>OK</v>
      </c>
      <c r="S227" s="12"/>
    </row>
    <row r="228" customFormat="false" ht="15" hidden="false" customHeight="false" outlineLevel="0" collapsed="false">
      <c r="A228" s="12" t="s">
        <v>2984</v>
      </c>
      <c r="B228" s="12" t="s">
        <v>1305</v>
      </c>
      <c r="C228" s="12" t="s">
        <v>2198</v>
      </c>
      <c r="D228" s="12" t="s">
        <v>2199</v>
      </c>
      <c r="E228" s="12" t="n">
        <v>78</v>
      </c>
      <c r="F228" s="12" t="n">
        <v>11</v>
      </c>
      <c r="G228" s="15" t="n">
        <v>32300</v>
      </c>
      <c r="H228" s="15" t="n">
        <v>37000</v>
      </c>
      <c r="I228" s="12" t="s">
        <v>2985</v>
      </c>
      <c r="J228" s="17" t="n">
        <v>46466</v>
      </c>
      <c r="K228" s="12" t="s">
        <v>1120</v>
      </c>
      <c r="L228" s="12" t="n">
        <v>54</v>
      </c>
      <c r="M228" s="15" t="n">
        <f aca="false">E228*G228</f>
        <v>2519400</v>
      </c>
      <c r="N228" s="15" t="n">
        <f aca="false">E228*H228</f>
        <v>2886000</v>
      </c>
      <c r="O228" s="18" t="n">
        <f aca="false">IF(H228=0,"",(H228-G228)/H228)</f>
        <v>0.127027027027027</v>
      </c>
      <c r="P228" s="12" t="n">
        <f aca="false">IF(J228="","",J228-README!$C$4)</f>
        <v>144</v>
      </c>
      <c r="Q228" s="12" t="str">
        <f aca="false">IF(E228=0,"Out of stock",IF(E228&lt;=F228,"Low stock","OK"))</f>
        <v>OK</v>
      </c>
      <c r="R228" s="12" t="str">
        <f aca="false">IF(J228="","No expiry",IF(P228&lt;0,"Expired",IF(P228&lt;=30,"Expiring &lt;=30 days","OK")))</f>
        <v>OK</v>
      </c>
      <c r="S228" s="12"/>
    </row>
    <row r="229" customFormat="false" ht="15" hidden="false" customHeight="false" outlineLevel="0" collapsed="false">
      <c r="A229" s="12" t="s">
        <v>2986</v>
      </c>
      <c r="B229" s="12" t="s">
        <v>1305</v>
      </c>
      <c r="C229" s="12" t="s">
        <v>2201</v>
      </c>
      <c r="D229" s="12" t="s">
        <v>2203</v>
      </c>
      <c r="E229" s="12" t="n">
        <v>31</v>
      </c>
      <c r="F229" s="12" t="n">
        <v>11</v>
      </c>
      <c r="G229" s="15" t="n">
        <v>7000</v>
      </c>
      <c r="H229" s="15" t="n">
        <v>8200</v>
      </c>
      <c r="I229" s="12" t="s">
        <v>2987</v>
      </c>
      <c r="J229" s="17" t="n">
        <v>46359</v>
      </c>
      <c r="K229" s="12" t="s">
        <v>1120</v>
      </c>
      <c r="L229" s="12" t="n">
        <v>21</v>
      </c>
      <c r="M229" s="15" t="n">
        <f aca="false">E229*G229</f>
        <v>217000</v>
      </c>
      <c r="N229" s="15" t="n">
        <f aca="false">E229*H229</f>
        <v>254200</v>
      </c>
      <c r="O229" s="18" t="n">
        <f aca="false">IF(H229=0,"",(H229-G229)/H229)</f>
        <v>0.146341463414634</v>
      </c>
      <c r="P229" s="12" t="n">
        <f aca="false">IF(J229="","",J229-README!$C$4)</f>
        <v>37</v>
      </c>
      <c r="Q229" s="12" t="str">
        <f aca="false">IF(E229=0,"Out of stock",IF(E229&lt;=F229,"Low stock","OK"))</f>
        <v>OK</v>
      </c>
      <c r="R229" s="12" t="str">
        <f aca="false">IF(J229="","No expiry",IF(P229&lt;0,"Expired",IF(P229&lt;=30,"Expiring &lt;=30 days","OK")))</f>
        <v>OK</v>
      </c>
      <c r="S229" s="12"/>
    </row>
    <row r="230" customFormat="false" ht="15" hidden="false" customHeight="false" outlineLevel="0" collapsed="false">
      <c r="A230" s="12" t="s">
        <v>2988</v>
      </c>
      <c r="B230" s="12" t="s">
        <v>1305</v>
      </c>
      <c r="C230" s="12" t="s">
        <v>2205</v>
      </c>
      <c r="D230" s="12" t="s">
        <v>2206</v>
      </c>
      <c r="E230" s="12" t="n">
        <v>16</v>
      </c>
      <c r="F230" s="12" t="n">
        <v>11</v>
      </c>
      <c r="G230" s="15" t="n">
        <v>10200</v>
      </c>
      <c r="H230" s="15" t="n">
        <v>12000</v>
      </c>
      <c r="I230" s="12" t="s">
        <v>2989</v>
      </c>
      <c r="J230" s="17" t="n">
        <v>46386</v>
      </c>
      <c r="K230" s="12" t="s">
        <v>1111</v>
      </c>
      <c r="L230" s="12" t="n">
        <v>0</v>
      </c>
      <c r="M230" s="15" t="n">
        <f aca="false">E230*G230</f>
        <v>163200</v>
      </c>
      <c r="N230" s="15" t="n">
        <f aca="false">E230*H230</f>
        <v>192000</v>
      </c>
      <c r="O230" s="18" t="n">
        <f aca="false">IF(H230=0,"",(H230-G230)/H230)</f>
        <v>0.15</v>
      </c>
      <c r="P230" s="12" t="n">
        <f aca="false">IF(J230="","",J230-README!$C$4)</f>
        <v>64</v>
      </c>
      <c r="Q230" s="12" t="str">
        <f aca="false">IF(E230=0,"Out of stock",IF(E230&lt;=F230,"Low stock","OK"))</f>
        <v>OK</v>
      </c>
      <c r="R230" s="12" t="str">
        <f aca="false">IF(J230="","No expiry",IF(P230&lt;0,"Expired",IF(P230&lt;=30,"Expiring &lt;=30 days","OK")))</f>
        <v>OK</v>
      </c>
      <c r="S230" s="12"/>
    </row>
    <row r="231" customFormat="false" ht="15" hidden="false" customHeight="false" outlineLevel="0" collapsed="false">
      <c r="A231" s="12" t="s">
        <v>2990</v>
      </c>
      <c r="B231" s="12" t="s">
        <v>1305</v>
      </c>
      <c r="C231" s="12" t="s">
        <v>2212</v>
      </c>
      <c r="D231" s="12" t="s">
        <v>2214</v>
      </c>
      <c r="E231" s="12" t="n">
        <v>109</v>
      </c>
      <c r="F231" s="12" t="n">
        <v>28</v>
      </c>
      <c r="G231" s="15" t="n">
        <v>3500</v>
      </c>
      <c r="H231" s="15" t="n">
        <v>4100</v>
      </c>
      <c r="I231" s="12" t="s">
        <v>2991</v>
      </c>
      <c r="J231" s="17" t="n">
        <v>46710</v>
      </c>
      <c r="K231" s="12" t="s">
        <v>1120</v>
      </c>
      <c r="L231" s="12" t="n">
        <v>76</v>
      </c>
      <c r="M231" s="15" t="n">
        <f aca="false">E231*G231</f>
        <v>381500</v>
      </c>
      <c r="N231" s="15" t="n">
        <f aca="false">E231*H231</f>
        <v>446900</v>
      </c>
      <c r="O231" s="18" t="n">
        <f aca="false">IF(H231=0,"",(H231-G231)/H231)</f>
        <v>0.146341463414634</v>
      </c>
      <c r="P231" s="12" t="n">
        <f aca="false">IF(J231="","",J231-README!$C$4)</f>
        <v>388</v>
      </c>
      <c r="Q231" s="12" t="str">
        <f aca="false">IF(E231=0,"Out of stock",IF(E231&lt;=F231,"Low stock","OK"))</f>
        <v>OK</v>
      </c>
      <c r="R231" s="12" t="str">
        <f aca="false">IF(J231="","No expiry",IF(P231&lt;0,"Expired",IF(P231&lt;=30,"Expiring &lt;=30 days","OK")))</f>
        <v>OK</v>
      </c>
      <c r="S231" s="12"/>
    </row>
    <row r="232" customFormat="false" ht="15" hidden="false" customHeight="false" outlineLevel="0" collapsed="false">
      <c r="A232" s="12" t="s">
        <v>2992</v>
      </c>
      <c r="B232" s="12" t="s">
        <v>1305</v>
      </c>
      <c r="C232" s="12" t="s">
        <v>2216</v>
      </c>
      <c r="D232" s="12" t="s">
        <v>2218</v>
      </c>
      <c r="E232" s="12" t="n">
        <v>98</v>
      </c>
      <c r="F232" s="12" t="n">
        <v>28</v>
      </c>
      <c r="G232" s="15" t="n">
        <v>7800</v>
      </c>
      <c r="H232" s="15" t="n">
        <v>9200</v>
      </c>
      <c r="I232" s="12" t="s">
        <v>2993</v>
      </c>
      <c r="J232" s="17" t="n">
        <v>46687</v>
      </c>
      <c r="K232" s="12" t="s">
        <v>1120</v>
      </c>
      <c r="L232" s="12" t="n">
        <v>68</v>
      </c>
      <c r="M232" s="15" t="n">
        <f aca="false">E232*G232</f>
        <v>764400</v>
      </c>
      <c r="N232" s="15" t="n">
        <f aca="false">E232*H232</f>
        <v>901600</v>
      </c>
      <c r="O232" s="18" t="n">
        <f aca="false">IF(H232=0,"",(H232-G232)/H232)</f>
        <v>0.152173913043478</v>
      </c>
      <c r="P232" s="12" t="n">
        <f aca="false">IF(J232="","",J232-README!$C$4)</f>
        <v>365</v>
      </c>
      <c r="Q232" s="12" t="str">
        <f aca="false">IF(E232=0,"Out of stock",IF(E232&lt;=F232,"Low stock","OK"))</f>
        <v>OK</v>
      </c>
      <c r="R232" s="12" t="str">
        <f aca="false">IF(J232="","No expiry",IF(P232&lt;0,"Expired",IF(P232&lt;=30,"Expiring &lt;=30 days","OK")))</f>
        <v>OK</v>
      </c>
      <c r="S232" s="12"/>
    </row>
    <row r="233" customFormat="false" ht="15" hidden="false" customHeight="false" outlineLevel="0" collapsed="false">
      <c r="A233" s="12" t="s">
        <v>2994</v>
      </c>
      <c r="B233" s="12" t="s">
        <v>1305</v>
      </c>
      <c r="C233" s="12" t="s">
        <v>2208</v>
      </c>
      <c r="D233" s="12" t="s">
        <v>2210</v>
      </c>
      <c r="E233" s="12" t="n">
        <v>140</v>
      </c>
      <c r="F233" s="12" t="n">
        <v>28</v>
      </c>
      <c r="G233" s="15" t="n">
        <v>1300</v>
      </c>
      <c r="H233" s="15" t="n">
        <v>1500</v>
      </c>
      <c r="I233" s="12" t="s">
        <v>2995</v>
      </c>
      <c r="J233" s="17" t="n">
        <v>46694</v>
      </c>
      <c r="K233" s="12" t="s">
        <v>1120</v>
      </c>
      <c r="L233" s="12" t="n">
        <v>98</v>
      </c>
      <c r="M233" s="15" t="n">
        <f aca="false">E233*G233</f>
        <v>182000</v>
      </c>
      <c r="N233" s="15" t="n">
        <f aca="false">E233*H233</f>
        <v>210000</v>
      </c>
      <c r="O233" s="18" t="n">
        <f aca="false">IF(H233=0,"",(H233-G233)/H233)</f>
        <v>0.133333333333333</v>
      </c>
      <c r="P233" s="12" t="n">
        <f aca="false">IF(J233="","",J233-README!$C$4)</f>
        <v>372</v>
      </c>
      <c r="Q233" s="12" t="str">
        <f aca="false">IF(E233=0,"Out of stock",IF(E233&lt;=F233,"Low stock","OK"))</f>
        <v>OK</v>
      </c>
      <c r="R233" s="12" t="str">
        <f aca="false">IF(J233="","No expiry",IF(P233&lt;0,"Expired",IF(P233&lt;=30,"Expiring &lt;=30 days","OK")))</f>
        <v>OK</v>
      </c>
      <c r="S233" s="12"/>
    </row>
    <row r="234" customFormat="false" ht="15" hidden="false" customHeight="false" outlineLevel="0" collapsed="false">
      <c r="A234" s="12" t="s">
        <v>2996</v>
      </c>
      <c r="B234" s="12" t="s">
        <v>1305</v>
      </c>
      <c r="C234" s="12" t="s">
        <v>2223</v>
      </c>
      <c r="D234" s="12" t="s">
        <v>2224</v>
      </c>
      <c r="E234" s="12" t="n">
        <v>65</v>
      </c>
      <c r="F234" s="12" t="n">
        <v>28</v>
      </c>
      <c r="G234" s="15" t="n">
        <v>3900</v>
      </c>
      <c r="H234" s="15" t="n">
        <v>4600</v>
      </c>
      <c r="I234" s="12" t="s">
        <v>2997</v>
      </c>
      <c r="J234" s="17" t="n">
        <v>46670</v>
      </c>
      <c r="K234" s="12" t="s">
        <v>1120</v>
      </c>
      <c r="L234" s="12" t="n">
        <v>45</v>
      </c>
      <c r="M234" s="15" t="n">
        <f aca="false">E234*G234</f>
        <v>253500</v>
      </c>
      <c r="N234" s="15" t="n">
        <f aca="false">E234*H234</f>
        <v>299000</v>
      </c>
      <c r="O234" s="18" t="n">
        <f aca="false">IF(H234=0,"",(H234-G234)/H234)</f>
        <v>0.152173913043478</v>
      </c>
      <c r="P234" s="12" t="n">
        <f aca="false">IF(J234="","",J234-README!$C$4)</f>
        <v>348</v>
      </c>
      <c r="Q234" s="12" t="str">
        <f aca="false">IF(E234=0,"Out of stock",IF(E234&lt;=F234,"Low stock","OK"))</f>
        <v>OK</v>
      </c>
      <c r="R234" s="12" t="str">
        <f aca="false">IF(J234="","No expiry",IF(P234&lt;0,"Expired",IF(P234&lt;=30,"Expiring &lt;=30 days","OK")))</f>
        <v>OK</v>
      </c>
      <c r="S234" s="12"/>
    </row>
    <row r="235" customFormat="false" ht="15" hidden="false" customHeight="false" outlineLevel="0" collapsed="false">
      <c r="A235" s="12" t="s">
        <v>2998</v>
      </c>
      <c r="B235" s="12" t="s">
        <v>1305</v>
      </c>
      <c r="C235" s="12" t="s">
        <v>2220</v>
      </c>
      <c r="D235" s="12" t="s">
        <v>2221</v>
      </c>
      <c r="E235" s="12" t="n">
        <v>196</v>
      </c>
      <c r="F235" s="12" t="n">
        <v>28</v>
      </c>
      <c r="G235" s="15" t="n">
        <v>1300</v>
      </c>
      <c r="H235" s="15" t="n">
        <v>1500</v>
      </c>
      <c r="I235" s="12" t="s">
        <v>2999</v>
      </c>
      <c r="J235" s="17" t="n">
        <v>46886</v>
      </c>
      <c r="K235" s="12" t="s">
        <v>1120</v>
      </c>
      <c r="L235" s="12" t="n">
        <v>137</v>
      </c>
      <c r="M235" s="15" t="n">
        <f aca="false">E235*G235</f>
        <v>254800</v>
      </c>
      <c r="N235" s="15" t="n">
        <f aca="false">E235*H235</f>
        <v>294000</v>
      </c>
      <c r="O235" s="18" t="n">
        <f aca="false">IF(H235=0,"",(H235-G235)/H235)</f>
        <v>0.133333333333333</v>
      </c>
      <c r="P235" s="12" t="n">
        <f aca="false">IF(J235="","",J235-README!$C$4)</f>
        <v>564</v>
      </c>
      <c r="Q235" s="12" t="str">
        <f aca="false">IF(E235=0,"Out of stock",IF(E235&lt;=F235,"Low stock","OK"))</f>
        <v>OK</v>
      </c>
      <c r="R235" s="12" t="str">
        <f aca="false">IF(J235="","No expiry",IF(P235&lt;0,"Expired",IF(P235&lt;=30,"Expiring &lt;=30 days","OK")))</f>
        <v>OK</v>
      </c>
      <c r="S235" s="12"/>
    </row>
    <row r="236" customFormat="false" ht="15" hidden="false" customHeight="false" outlineLevel="0" collapsed="false">
      <c r="A236" s="12" t="s">
        <v>3000</v>
      </c>
      <c r="B236" s="12" t="s">
        <v>1305</v>
      </c>
      <c r="C236" s="12" t="s">
        <v>2229</v>
      </c>
      <c r="D236" s="12" t="s">
        <v>2230</v>
      </c>
      <c r="E236" s="12" t="n">
        <v>178</v>
      </c>
      <c r="F236" s="12" t="n">
        <v>28</v>
      </c>
      <c r="G236" s="15" t="n">
        <v>3300</v>
      </c>
      <c r="H236" s="15" t="n">
        <v>4100</v>
      </c>
      <c r="I236" s="12" t="s">
        <v>3001</v>
      </c>
      <c r="J236" s="17" t="n">
        <v>46864</v>
      </c>
      <c r="K236" s="12" t="s">
        <v>1120</v>
      </c>
      <c r="L236" s="12" t="n">
        <v>124</v>
      </c>
      <c r="M236" s="15" t="n">
        <f aca="false">E236*G236</f>
        <v>587400</v>
      </c>
      <c r="N236" s="15" t="n">
        <f aca="false">E236*H236</f>
        <v>729800</v>
      </c>
      <c r="O236" s="18" t="n">
        <f aca="false">IF(H236=0,"",(H236-G236)/H236)</f>
        <v>0.195121951219512</v>
      </c>
      <c r="P236" s="12" t="n">
        <f aca="false">IF(J236="","",J236-README!$C$4)</f>
        <v>542</v>
      </c>
      <c r="Q236" s="12" t="str">
        <f aca="false">IF(E236=0,"Out of stock",IF(E236&lt;=F236,"Low stock","OK"))</f>
        <v>OK</v>
      </c>
      <c r="R236" s="12" t="str">
        <f aca="false">IF(J236="","No expiry",IF(P236&lt;0,"Expired",IF(P236&lt;=30,"Expiring &lt;=30 days","OK")))</f>
        <v>OK</v>
      </c>
      <c r="S236" s="12"/>
    </row>
    <row r="237" customFormat="false" ht="15" hidden="false" customHeight="false" outlineLevel="0" collapsed="false">
      <c r="A237" s="12" t="s">
        <v>3002</v>
      </c>
      <c r="B237" s="12" t="s">
        <v>1305</v>
      </c>
      <c r="C237" s="12" t="s">
        <v>2232</v>
      </c>
      <c r="D237" s="12" t="s">
        <v>2234</v>
      </c>
      <c r="E237" s="12" t="n">
        <v>19</v>
      </c>
      <c r="F237" s="12" t="n">
        <v>3</v>
      </c>
      <c r="G237" s="15" t="n">
        <v>26000</v>
      </c>
      <c r="H237" s="15" t="n">
        <v>30500</v>
      </c>
      <c r="I237" s="12" t="s">
        <v>3003</v>
      </c>
      <c r="J237" s="17" t="n">
        <v>46979</v>
      </c>
      <c r="K237" s="12" t="s">
        <v>1120</v>
      </c>
      <c r="L237" s="12" t="n">
        <v>13</v>
      </c>
      <c r="M237" s="15" t="n">
        <f aca="false">E237*G237</f>
        <v>494000</v>
      </c>
      <c r="N237" s="15" t="n">
        <f aca="false">E237*H237</f>
        <v>579500</v>
      </c>
      <c r="O237" s="18" t="n">
        <f aca="false">IF(H237=0,"",(H237-G237)/H237)</f>
        <v>0.147540983606557</v>
      </c>
      <c r="P237" s="12" t="n">
        <f aca="false">IF(J237="","",J237-README!$C$4)</f>
        <v>657</v>
      </c>
      <c r="Q237" s="12" t="str">
        <f aca="false">IF(E237=0,"Out of stock",IF(E237&lt;=F237,"Low stock","OK"))</f>
        <v>OK</v>
      </c>
      <c r="R237" s="12" t="str">
        <f aca="false">IF(J237="","No expiry",IF(P237&lt;0,"Expired",IF(P237&lt;=30,"Expiring &lt;=30 days","OK")))</f>
        <v>OK</v>
      </c>
      <c r="S237" s="12"/>
    </row>
    <row r="238" customFormat="false" ht="15" hidden="false" customHeight="false" outlineLevel="0" collapsed="false">
      <c r="A238" s="12" t="s">
        <v>3004</v>
      </c>
      <c r="B238" s="12" t="s">
        <v>1305</v>
      </c>
      <c r="C238" s="12" t="s">
        <v>2236</v>
      </c>
      <c r="D238" s="12" t="s">
        <v>2238</v>
      </c>
      <c r="E238" s="12" t="n">
        <v>38</v>
      </c>
      <c r="F238" s="12" t="n">
        <v>8</v>
      </c>
      <c r="G238" s="15" t="n">
        <v>10100</v>
      </c>
      <c r="H238" s="15" t="n">
        <v>12000</v>
      </c>
      <c r="I238" s="12" t="s">
        <v>3005</v>
      </c>
      <c r="J238" s="17" t="n">
        <v>46955</v>
      </c>
      <c r="K238" s="12" t="s">
        <v>1120</v>
      </c>
      <c r="L238" s="12" t="n">
        <v>26</v>
      </c>
      <c r="M238" s="15" t="n">
        <f aca="false">E238*G238</f>
        <v>383800</v>
      </c>
      <c r="N238" s="15" t="n">
        <f aca="false">E238*H238</f>
        <v>456000</v>
      </c>
      <c r="O238" s="18" t="n">
        <f aca="false">IF(H238=0,"",(H238-G238)/H238)</f>
        <v>0.158333333333333</v>
      </c>
      <c r="P238" s="12" t="n">
        <f aca="false">IF(J238="","",J238-README!$C$4)</f>
        <v>633</v>
      </c>
      <c r="Q238" s="12" t="str">
        <f aca="false">IF(E238=0,"Out of stock",IF(E238&lt;=F238,"Low stock","OK"))</f>
        <v>OK</v>
      </c>
      <c r="R238" s="12" t="str">
        <f aca="false">IF(J238="","No expiry",IF(P238&lt;0,"Expired",IF(P238&lt;=30,"Expiring &lt;=30 days","OK")))</f>
        <v>OK</v>
      </c>
      <c r="S238" s="12"/>
    </row>
    <row r="239" customFormat="false" ht="15" hidden="false" customHeight="false" outlineLevel="0" collapsed="false">
      <c r="A239" s="12" t="s">
        <v>3006</v>
      </c>
      <c r="B239" s="12" t="s">
        <v>1305</v>
      </c>
      <c r="C239" s="12" t="s">
        <v>2244</v>
      </c>
      <c r="D239" s="12" t="s">
        <v>2246</v>
      </c>
      <c r="E239" s="12" t="n">
        <v>12</v>
      </c>
      <c r="F239" s="12" t="n">
        <v>8</v>
      </c>
      <c r="G239" s="15" t="n">
        <v>24200</v>
      </c>
      <c r="H239" s="15" t="n">
        <v>28500</v>
      </c>
      <c r="I239" s="12" t="s">
        <v>3007</v>
      </c>
      <c r="J239" s="17" t="n">
        <v>46631</v>
      </c>
      <c r="K239" s="12" t="s">
        <v>1120</v>
      </c>
      <c r="L239" s="12" t="n">
        <v>8</v>
      </c>
      <c r="M239" s="15" t="n">
        <f aca="false">E239*G239</f>
        <v>290400</v>
      </c>
      <c r="N239" s="15" t="n">
        <f aca="false">E239*H239</f>
        <v>342000</v>
      </c>
      <c r="O239" s="18" t="n">
        <f aca="false">IF(H239=0,"",(H239-G239)/H239)</f>
        <v>0.150877192982456</v>
      </c>
      <c r="P239" s="12" t="n">
        <f aca="false">IF(J239="","",J239-README!$C$4)</f>
        <v>309</v>
      </c>
      <c r="Q239" s="12" t="str">
        <f aca="false">IF(E239=0,"Out of stock",IF(E239&lt;=F239,"Low stock","OK"))</f>
        <v>OK</v>
      </c>
      <c r="R239" s="12" t="str">
        <f aca="false">IF(J239="","No expiry",IF(P239&lt;0,"Expired",IF(P239&lt;=30,"Expiring &lt;=30 days","OK")))</f>
        <v>OK</v>
      </c>
      <c r="S239" s="12"/>
    </row>
    <row r="240" customFormat="false" ht="15" hidden="false" customHeight="false" outlineLevel="0" collapsed="false">
      <c r="A240" s="12" t="s">
        <v>3008</v>
      </c>
      <c r="B240" s="12" t="s">
        <v>1305</v>
      </c>
      <c r="C240" s="12" t="s">
        <v>2240</v>
      </c>
      <c r="D240" s="12" t="s">
        <v>2242</v>
      </c>
      <c r="E240" s="12" t="n">
        <v>22</v>
      </c>
      <c r="F240" s="12" t="n">
        <v>8</v>
      </c>
      <c r="G240" s="15" t="n">
        <v>12600</v>
      </c>
      <c r="H240" s="15" t="n">
        <v>15500</v>
      </c>
      <c r="I240" s="12" t="s">
        <v>3009</v>
      </c>
      <c r="J240" s="17" t="n">
        <v>46861</v>
      </c>
      <c r="K240" s="12" t="s">
        <v>1120</v>
      </c>
      <c r="L240" s="12" t="n">
        <v>15</v>
      </c>
      <c r="M240" s="15" t="n">
        <f aca="false">E240*G240</f>
        <v>277200</v>
      </c>
      <c r="N240" s="15" t="n">
        <f aca="false">E240*H240</f>
        <v>341000</v>
      </c>
      <c r="O240" s="18" t="n">
        <f aca="false">IF(H240=0,"",(H240-G240)/H240)</f>
        <v>0.187096774193548</v>
      </c>
      <c r="P240" s="12" t="n">
        <f aca="false">IF(J240="","",J240-README!$C$4)</f>
        <v>539</v>
      </c>
      <c r="Q240" s="12" t="str">
        <f aca="false">IF(E240=0,"Out of stock",IF(E240&lt;=F240,"Low stock","OK"))</f>
        <v>OK</v>
      </c>
      <c r="R240" s="12" t="str">
        <f aca="false">IF(J240="","No expiry",IF(P240&lt;0,"Expired",IF(P240&lt;=30,"Expiring &lt;=30 days","OK")))</f>
        <v>OK</v>
      </c>
      <c r="S240" s="12"/>
    </row>
    <row r="241" customFormat="false" ht="15" hidden="false" customHeight="false" outlineLevel="0" collapsed="false">
      <c r="A241" s="12" t="s">
        <v>3010</v>
      </c>
      <c r="B241" s="12" t="s">
        <v>1305</v>
      </c>
      <c r="C241" s="12" t="s">
        <v>2251</v>
      </c>
      <c r="D241" s="12" t="s">
        <v>2252</v>
      </c>
      <c r="E241" s="12" t="n">
        <v>111</v>
      </c>
      <c r="F241" s="12" t="n">
        <v>28</v>
      </c>
      <c r="G241" s="15" t="n">
        <v>3200</v>
      </c>
      <c r="H241" s="15" t="n">
        <v>3600</v>
      </c>
      <c r="I241" s="12" t="s">
        <v>3011</v>
      </c>
      <c r="J241" s="17" t="n">
        <v>46923</v>
      </c>
      <c r="K241" s="12" t="s">
        <v>1120</v>
      </c>
      <c r="L241" s="12" t="n">
        <v>77</v>
      </c>
      <c r="M241" s="15" t="n">
        <f aca="false">E241*G241</f>
        <v>355200</v>
      </c>
      <c r="N241" s="15" t="n">
        <f aca="false">E241*H241</f>
        <v>399600</v>
      </c>
      <c r="O241" s="18" t="n">
        <f aca="false">IF(H241=0,"",(H241-G241)/H241)</f>
        <v>0.111111111111111</v>
      </c>
      <c r="P241" s="12" t="n">
        <f aca="false">IF(J241="","",J241-README!$C$4)</f>
        <v>601</v>
      </c>
      <c r="Q241" s="12" t="str">
        <f aca="false">IF(E241=0,"Out of stock",IF(E241&lt;=F241,"Low stock","OK"))</f>
        <v>OK</v>
      </c>
      <c r="R241" s="12" t="str">
        <f aca="false">IF(J241="","No expiry",IF(P241&lt;0,"Expired",IF(P241&lt;=30,"Expiring &lt;=30 days","OK")))</f>
        <v>OK</v>
      </c>
      <c r="S241" s="12"/>
    </row>
    <row r="242" customFormat="false" ht="15" hidden="false" customHeight="false" outlineLevel="0" collapsed="false">
      <c r="A242" s="12" t="s">
        <v>3012</v>
      </c>
      <c r="B242" s="12" t="s">
        <v>1305</v>
      </c>
      <c r="C242" s="12" t="s">
        <v>2254</v>
      </c>
      <c r="D242" s="12" t="s">
        <v>2255</v>
      </c>
      <c r="E242" s="12" t="n">
        <v>179</v>
      </c>
      <c r="F242" s="12" t="n">
        <v>28</v>
      </c>
      <c r="G242" s="15" t="n">
        <v>7100</v>
      </c>
      <c r="H242" s="15" t="n">
        <v>8200</v>
      </c>
      <c r="I242" s="12" t="s">
        <v>3013</v>
      </c>
      <c r="J242" s="17" t="n">
        <v>46903</v>
      </c>
      <c r="K242" s="12" t="s">
        <v>1120</v>
      </c>
      <c r="L242" s="12" t="n">
        <v>125</v>
      </c>
      <c r="M242" s="15" t="n">
        <f aca="false">E242*G242</f>
        <v>1270900</v>
      </c>
      <c r="N242" s="15" t="n">
        <f aca="false">E242*H242</f>
        <v>1467800</v>
      </c>
      <c r="O242" s="18" t="n">
        <f aca="false">IF(H242=0,"",(H242-G242)/H242)</f>
        <v>0.134146341463415</v>
      </c>
      <c r="P242" s="12" t="n">
        <f aca="false">IF(J242="","",J242-README!$C$4)</f>
        <v>581</v>
      </c>
      <c r="Q242" s="12" t="str">
        <f aca="false">IF(E242=0,"Out of stock",IF(E242&lt;=F242,"Low stock","OK"))</f>
        <v>OK</v>
      </c>
      <c r="R242" s="12" t="str">
        <f aca="false">IF(J242="","No expiry",IF(P242&lt;0,"Expired",IF(P242&lt;=30,"Expiring &lt;=30 days","OK")))</f>
        <v>OK</v>
      </c>
      <c r="S242" s="12"/>
    </row>
    <row r="243" customFormat="false" ht="15" hidden="false" customHeight="false" outlineLevel="0" collapsed="false">
      <c r="A243" s="12" t="s">
        <v>3014</v>
      </c>
      <c r="B243" s="12" t="s">
        <v>1305</v>
      </c>
      <c r="C243" s="12" t="s">
        <v>2248</v>
      </c>
      <c r="D243" s="12" t="s">
        <v>2249</v>
      </c>
      <c r="E243" s="12" t="n">
        <v>156</v>
      </c>
      <c r="F243" s="12" t="n">
        <v>28</v>
      </c>
      <c r="G243" s="15" t="n">
        <v>1000</v>
      </c>
      <c r="H243" s="15" t="n">
        <v>1200</v>
      </c>
      <c r="I243" s="12" t="s">
        <v>3015</v>
      </c>
      <c r="J243" s="17" t="n">
        <v>47002</v>
      </c>
      <c r="K243" s="12" t="s">
        <v>1120</v>
      </c>
      <c r="L243" s="12" t="n">
        <v>109</v>
      </c>
      <c r="M243" s="15" t="n">
        <f aca="false">E243*G243</f>
        <v>156000</v>
      </c>
      <c r="N243" s="15" t="n">
        <f aca="false">E243*H243</f>
        <v>187200</v>
      </c>
      <c r="O243" s="18" t="n">
        <f aca="false">IF(H243=0,"",(H243-G243)/H243)</f>
        <v>0.166666666666667</v>
      </c>
      <c r="P243" s="12" t="n">
        <f aca="false">IF(J243="","",J243-README!$C$4)</f>
        <v>680</v>
      </c>
      <c r="Q243" s="12" t="str">
        <f aca="false">IF(E243=0,"Out of stock",IF(E243&lt;=F243,"Low stock","OK"))</f>
        <v>OK</v>
      </c>
      <c r="R243" s="12" t="str">
        <f aca="false">IF(J243="","No expiry",IF(P243&lt;0,"Expired",IF(P243&lt;=30,"Expiring &lt;=30 days","OK")))</f>
        <v>OK</v>
      </c>
      <c r="S243" s="12"/>
    </row>
    <row r="244" customFormat="false" ht="15" hidden="false" customHeight="false" outlineLevel="0" collapsed="false">
      <c r="A244" s="12" t="s">
        <v>3016</v>
      </c>
      <c r="B244" s="12" t="s">
        <v>1305</v>
      </c>
      <c r="C244" s="12" t="s">
        <v>2260</v>
      </c>
      <c r="D244" s="12" t="s">
        <v>2262</v>
      </c>
      <c r="E244" s="12" t="n">
        <v>15</v>
      </c>
      <c r="F244" s="12" t="n">
        <v>4</v>
      </c>
      <c r="G244" s="15" t="n">
        <v>6400</v>
      </c>
      <c r="H244" s="15" t="n">
        <v>7100</v>
      </c>
      <c r="I244" s="12" t="s">
        <v>3017</v>
      </c>
      <c r="J244" s="17" t="n">
        <v>46460</v>
      </c>
      <c r="K244" s="12" t="s">
        <v>1120</v>
      </c>
      <c r="L244" s="12" t="n">
        <v>10</v>
      </c>
      <c r="M244" s="15" t="n">
        <f aca="false">E244*G244</f>
        <v>96000</v>
      </c>
      <c r="N244" s="15" t="n">
        <f aca="false">E244*H244</f>
        <v>106500</v>
      </c>
      <c r="O244" s="18" t="n">
        <f aca="false">IF(H244=0,"",(H244-G244)/H244)</f>
        <v>0.0985915492957746</v>
      </c>
      <c r="P244" s="12" t="n">
        <f aca="false">IF(J244="","",J244-README!$C$4)</f>
        <v>138</v>
      </c>
      <c r="Q244" s="12" t="str">
        <f aca="false">IF(E244=0,"Out of stock",IF(E244&lt;=F244,"Low stock","OK"))</f>
        <v>OK</v>
      </c>
      <c r="R244" s="12" t="str">
        <f aca="false">IF(J244="","No expiry",IF(P244&lt;0,"Expired",IF(P244&lt;=30,"Expiring &lt;=30 days","OK")))</f>
        <v>OK</v>
      </c>
      <c r="S244" s="12"/>
    </row>
    <row r="245" customFormat="false" ht="15" hidden="false" customHeight="false" outlineLevel="0" collapsed="false">
      <c r="A245" s="12" t="s">
        <v>3018</v>
      </c>
      <c r="B245" s="12" t="s">
        <v>1305</v>
      </c>
      <c r="C245" s="12" t="s">
        <v>2264</v>
      </c>
      <c r="D245" s="12" t="s">
        <v>2266</v>
      </c>
      <c r="E245" s="12" t="n">
        <v>12</v>
      </c>
      <c r="F245" s="12" t="n">
        <v>4</v>
      </c>
      <c r="G245" s="15" t="n">
        <v>12800</v>
      </c>
      <c r="H245" s="15" t="n">
        <v>15500</v>
      </c>
      <c r="I245" s="12" t="s">
        <v>3019</v>
      </c>
      <c r="J245" s="17" t="n">
        <v>46914</v>
      </c>
      <c r="K245" s="12" t="s">
        <v>1120</v>
      </c>
      <c r="L245" s="12" t="n">
        <v>8</v>
      </c>
      <c r="M245" s="15" t="n">
        <f aca="false">E245*G245</f>
        <v>153600</v>
      </c>
      <c r="N245" s="15" t="n">
        <f aca="false">E245*H245</f>
        <v>186000</v>
      </c>
      <c r="O245" s="18" t="n">
        <f aca="false">IF(H245=0,"",(H245-G245)/H245)</f>
        <v>0.174193548387097</v>
      </c>
      <c r="P245" s="12" t="n">
        <f aca="false">IF(J245="","",J245-README!$C$4)</f>
        <v>592</v>
      </c>
      <c r="Q245" s="12" t="str">
        <f aca="false">IF(E245=0,"Out of stock",IF(E245&lt;=F245,"Low stock","OK"))</f>
        <v>OK</v>
      </c>
      <c r="R245" s="12" t="str">
        <f aca="false">IF(J245="","No expiry",IF(P245&lt;0,"Expired",IF(P245&lt;=30,"Expiring &lt;=30 days","OK")))</f>
        <v>OK</v>
      </c>
      <c r="S245" s="12"/>
    </row>
    <row r="246" customFormat="false" ht="15" hidden="false" customHeight="false" outlineLevel="0" collapsed="false">
      <c r="A246" s="12" t="s">
        <v>3020</v>
      </c>
      <c r="B246" s="12" t="s">
        <v>1305</v>
      </c>
      <c r="C246" s="12" t="s">
        <v>2272</v>
      </c>
      <c r="D246" s="12" t="s">
        <v>2274</v>
      </c>
      <c r="E246" s="12" t="n">
        <v>51</v>
      </c>
      <c r="F246" s="12" t="n">
        <v>11</v>
      </c>
      <c r="G246" s="15" t="n">
        <v>83800</v>
      </c>
      <c r="H246" s="15" t="n">
        <v>97000</v>
      </c>
      <c r="I246" s="12" t="s">
        <v>3021</v>
      </c>
      <c r="J246" s="17" t="n">
        <v>46727</v>
      </c>
      <c r="K246" s="12" t="s">
        <v>1120</v>
      </c>
      <c r="L246" s="12" t="n">
        <v>35</v>
      </c>
      <c r="M246" s="15" t="n">
        <f aca="false">E246*G246</f>
        <v>4273800</v>
      </c>
      <c r="N246" s="15" t="n">
        <f aca="false">E246*H246</f>
        <v>4947000</v>
      </c>
      <c r="O246" s="18" t="n">
        <f aca="false">IF(H246=0,"",(H246-G246)/H246)</f>
        <v>0.136082474226804</v>
      </c>
      <c r="P246" s="12" t="n">
        <f aca="false">IF(J246="","",J246-README!$C$4)</f>
        <v>405</v>
      </c>
      <c r="Q246" s="12" t="str">
        <f aca="false">IF(E246=0,"Out of stock",IF(E246&lt;=F246,"Low stock","OK"))</f>
        <v>OK</v>
      </c>
      <c r="R246" s="12" t="str">
        <f aca="false">IF(J246="","No expiry",IF(P246&lt;0,"Expired",IF(P246&lt;=30,"Expiring &lt;=30 days","OK")))</f>
        <v>OK</v>
      </c>
      <c r="S246" s="12"/>
    </row>
    <row r="247" customFormat="false" ht="15" hidden="false" customHeight="false" outlineLevel="0" collapsed="false">
      <c r="A247" s="12" t="s">
        <v>3022</v>
      </c>
      <c r="B247" s="12" t="s">
        <v>1305</v>
      </c>
      <c r="C247" s="12" t="s">
        <v>2268</v>
      </c>
      <c r="D247" s="12" t="s">
        <v>2270</v>
      </c>
      <c r="E247" s="12" t="n">
        <v>41</v>
      </c>
      <c r="F247" s="12" t="n">
        <v>8</v>
      </c>
      <c r="G247" s="15" t="n">
        <v>10100</v>
      </c>
      <c r="H247" s="15" t="n">
        <v>12000</v>
      </c>
      <c r="I247" s="12" t="s">
        <v>3023</v>
      </c>
      <c r="J247" s="17" t="n">
        <v>46725</v>
      </c>
      <c r="K247" s="12" t="s">
        <v>1120</v>
      </c>
      <c r="L247" s="12" t="n">
        <v>28</v>
      </c>
      <c r="M247" s="15" t="n">
        <f aca="false">E247*G247</f>
        <v>414100</v>
      </c>
      <c r="N247" s="15" t="n">
        <f aca="false">E247*H247</f>
        <v>492000</v>
      </c>
      <c r="O247" s="18" t="n">
        <f aca="false">IF(H247=0,"",(H247-G247)/H247)</f>
        <v>0.158333333333333</v>
      </c>
      <c r="P247" s="12" t="n">
        <f aca="false">IF(J247="","",J247-README!$C$4)</f>
        <v>403</v>
      </c>
      <c r="Q247" s="12" t="str">
        <f aca="false">IF(E247=0,"Out of stock",IF(E247&lt;=F247,"Low stock","OK"))</f>
        <v>OK</v>
      </c>
      <c r="R247" s="12" t="str">
        <f aca="false">IF(J247="","No expiry",IF(P247&lt;0,"Expired",IF(P247&lt;=30,"Expiring &lt;=30 days","OK")))</f>
        <v>OK</v>
      </c>
      <c r="S247" s="12"/>
    </row>
    <row r="248" customFormat="false" ht="15" hidden="false" customHeight="false" outlineLevel="0" collapsed="false">
      <c r="A248" s="12" t="s">
        <v>3024</v>
      </c>
      <c r="B248" s="12" t="s">
        <v>1305</v>
      </c>
      <c r="C248" s="12" t="s">
        <v>2279</v>
      </c>
      <c r="D248" s="12" t="s">
        <v>2281</v>
      </c>
      <c r="E248" s="12" t="n">
        <v>31</v>
      </c>
      <c r="F248" s="12" t="n">
        <v>8</v>
      </c>
      <c r="G248" s="15" t="n">
        <v>22000</v>
      </c>
      <c r="H248" s="15" t="n">
        <v>25500</v>
      </c>
      <c r="I248" s="12" t="s">
        <v>3025</v>
      </c>
      <c r="J248" s="17" t="n">
        <v>46471</v>
      </c>
      <c r="K248" s="12" t="s">
        <v>1120</v>
      </c>
      <c r="L248" s="12" t="n">
        <v>21</v>
      </c>
      <c r="M248" s="15" t="n">
        <f aca="false">E248*G248</f>
        <v>682000</v>
      </c>
      <c r="N248" s="15" t="n">
        <f aca="false">E248*H248</f>
        <v>790500</v>
      </c>
      <c r="O248" s="18" t="n">
        <f aca="false">IF(H248=0,"",(H248-G248)/H248)</f>
        <v>0.137254901960784</v>
      </c>
      <c r="P248" s="12" t="n">
        <f aca="false">IF(J248="","",J248-README!$C$4)</f>
        <v>149</v>
      </c>
      <c r="Q248" s="12" t="str">
        <f aca="false">IF(E248=0,"Out of stock",IF(E248&lt;=F248,"Low stock","OK"))</f>
        <v>OK</v>
      </c>
      <c r="R248" s="12" t="str">
        <f aca="false">IF(J248="","No expiry",IF(P248&lt;0,"Expired",IF(P248&lt;=30,"Expiring &lt;=30 days","OK")))</f>
        <v>OK</v>
      </c>
      <c r="S248" s="12"/>
    </row>
    <row r="249" customFormat="false" ht="15" hidden="false" customHeight="false" outlineLevel="0" collapsed="false">
      <c r="A249" s="12" t="s">
        <v>3026</v>
      </c>
      <c r="B249" s="12" t="s">
        <v>1305</v>
      </c>
      <c r="C249" s="12" t="s">
        <v>2283</v>
      </c>
      <c r="D249" s="12" t="s">
        <v>2284</v>
      </c>
      <c r="E249" s="12" t="n">
        <v>57</v>
      </c>
      <c r="F249" s="12" t="n">
        <v>8</v>
      </c>
      <c r="G249" s="15" t="n">
        <v>30200</v>
      </c>
      <c r="H249" s="15" t="n">
        <v>35500</v>
      </c>
      <c r="I249" s="12" t="s">
        <v>3027</v>
      </c>
      <c r="J249" s="17" t="n">
        <v>46995</v>
      </c>
      <c r="K249" s="12" t="s">
        <v>1120</v>
      </c>
      <c r="L249" s="12" t="n">
        <v>39</v>
      </c>
      <c r="M249" s="15" t="n">
        <f aca="false">E249*G249</f>
        <v>1721400</v>
      </c>
      <c r="N249" s="15" t="n">
        <f aca="false">E249*H249</f>
        <v>2023500</v>
      </c>
      <c r="O249" s="18" t="n">
        <f aca="false">IF(H249=0,"",(H249-G249)/H249)</f>
        <v>0.149295774647887</v>
      </c>
      <c r="P249" s="12" t="n">
        <f aca="false">IF(J249="","",J249-README!$C$4)</f>
        <v>673</v>
      </c>
      <c r="Q249" s="12" t="str">
        <f aca="false">IF(E249=0,"Out of stock",IF(E249&lt;=F249,"Low stock","OK"))</f>
        <v>OK</v>
      </c>
      <c r="R249" s="12" t="str">
        <f aca="false">IF(J249="","No expiry",IF(P249&lt;0,"Expired",IF(P249&lt;=30,"Expiring &lt;=30 days","OK")))</f>
        <v>OK</v>
      </c>
      <c r="S249" s="12"/>
    </row>
    <row r="250" customFormat="false" ht="15" hidden="false" customHeight="false" outlineLevel="0" collapsed="false">
      <c r="A250" s="12" t="s">
        <v>3028</v>
      </c>
      <c r="B250" s="12" t="s">
        <v>1305</v>
      </c>
      <c r="C250" s="12" t="s">
        <v>2286</v>
      </c>
      <c r="D250" s="12" t="s">
        <v>2287</v>
      </c>
      <c r="E250" s="12" t="n">
        <v>23</v>
      </c>
      <c r="F250" s="12" t="n">
        <v>8</v>
      </c>
      <c r="G250" s="15" t="n">
        <v>10200</v>
      </c>
      <c r="H250" s="15" t="n">
        <v>12000</v>
      </c>
      <c r="I250" s="12" t="s">
        <v>3029</v>
      </c>
      <c r="J250" s="17" t="n">
        <v>46995</v>
      </c>
      <c r="K250" s="12" t="s">
        <v>1120</v>
      </c>
      <c r="L250" s="12" t="n">
        <v>16</v>
      </c>
      <c r="M250" s="15" t="n">
        <f aca="false">E250*G250</f>
        <v>234600</v>
      </c>
      <c r="N250" s="15" t="n">
        <f aca="false">E250*H250</f>
        <v>276000</v>
      </c>
      <c r="O250" s="18" t="n">
        <f aca="false">IF(H250=0,"",(H250-G250)/H250)</f>
        <v>0.15</v>
      </c>
      <c r="P250" s="12" t="n">
        <f aca="false">IF(J250="","",J250-README!$C$4)</f>
        <v>673</v>
      </c>
      <c r="Q250" s="12" t="str">
        <f aca="false">IF(E250=0,"Out of stock",IF(E250&lt;=F250,"Low stock","OK"))</f>
        <v>OK</v>
      </c>
      <c r="R250" s="12" t="str">
        <f aca="false">IF(J250="","No expiry",IF(P250&lt;0,"Expired",IF(P250&lt;=30,"Expiring &lt;=30 days","OK")))</f>
        <v>OK</v>
      </c>
      <c r="S250" s="12"/>
    </row>
    <row r="251" customFormat="false" ht="15" hidden="false" customHeight="false" outlineLevel="0" collapsed="false">
      <c r="A251" s="12" t="s">
        <v>3030</v>
      </c>
      <c r="B251" s="12" t="s">
        <v>1305</v>
      </c>
      <c r="C251" s="12" t="s">
        <v>2289</v>
      </c>
      <c r="D251" s="12" t="s">
        <v>2290</v>
      </c>
      <c r="E251" s="12" t="n">
        <v>27</v>
      </c>
      <c r="F251" s="12" t="n">
        <v>11</v>
      </c>
      <c r="G251" s="15" t="n">
        <v>228500</v>
      </c>
      <c r="H251" s="15" t="n">
        <v>255000</v>
      </c>
      <c r="I251" s="12" t="s">
        <v>3031</v>
      </c>
      <c r="J251" s="17" t="n">
        <v>46586</v>
      </c>
      <c r="K251" s="12" t="s">
        <v>1120</v>
      </c>
      <c r="L251" s="12" t="n">
        <v>18</v>
      </c>
      <c r="M251" s="15" t="n">
        <f aca="false">E251*G251</f>
        <v>6169500</v>
      </c>
      <c r="N251" s="15" t="n">
        <f aca="false">E251*H251</f>
        <v>6885000</v>
      </c>
      <c r="O251" s="18" t="n">
        <f aca="false">IF(H251=0,"",(H251-G251)/H251)</f>
        <v>0.103921568627451</v>
      </c>
      <c r="P251" s="12" t="n">
        <f aca="false">IF(J251="","",J251-README!$C$4)</f>
        <v>264</v>
      </c>
      <c r="Q251" s="12" t="str">
        <f aca="false">IF(E251=0,"Out of stock",IF(E251&lt;=F251,"Low stock","OK"))</f>
        <v>OK</v>
      </c>
      <c r="R251" s="12" t="str">
        <f aca="false">IF(J251="","No expiry",IF(P251&lt;0,"Expired",IF(P251&lt;=30,"Expiring &lt;=30 days","OK")))</f>
        <v>OK</v>
      </c>
      <c r="S251" s="12"/>
    </row>
    <row r="252" customFormat="false" ht="15" hidden="false" customHeight="false" outlineLevel="0" collapsed="false">
      <c r="A252" s="12" t="s">
        <v>3032</v>
      </c>
      <c r="B252" s="12" t="s">
        <v>1305</v>
      </c>
      <c r="C252" s="12" t="s">
        <v>2295</v>
      </c>
      <c r="D252" s="12" t="s">
        <v>2296</v>
      </c>
      <c r="E252" s="12" t="n">
        <v>45</v>
      </c>
      <c r="F252" s="12" t="n">
        <v>8</v>
      </c>
      <c r="G252" s="15" t="n">
        <v>21800</v>
      </c>
      <c r="H252" s="15" t="n">
        <v>26500</v>
      </c>
      <c r="I252" s="12" t="s">
        <v>3033</v>
      </c>
      <c r="J252" s="17" t="n">
        <v>46488</v>
      </c>
      <c r="K252" s="12" t="s">
        <v>1111</v>
      </c>
      <c r="L252" s="12" t="n">
        <v>0</v>
      </c>
      <c r="M252" s="15" t="n">
        <f aca="false">E252*G252</f>
        <v>981000</v>
      </c>
      <c r="N252" s="15" t="n">
        <f aca="false">E252*H252</f>
        <v>1192500</v>
      </c>
      <c r="O252" s="18" t="n">
        <f aca="false">IF(H252=0,"",(H252-G252)/H252)</f>
        <v>0.177358490566038</v>
      </c>
      <c r="P252" s="12" t="n">
        <f aca="false">IF(J252="","",J252-README!$C$4)</f>
        <v>166</v>
      </c>
      <c r="Q252" s="12" t="str">
        <f aca="false">IF(E252=0,"Out of stock",IF(E252&lt;=F252,"Low stock","OK"))</f>
        <v>OK</v>
      </c>
      <c r="R252" s="12" t="str">
        <f aca="false">IF(J252="","No expiry",IF(P252&lt;0,"Expired",IF(P252&lt;=30,"Expiring &lt;=30 days","OK")))</f>
        <v>OK</v>
      </c>
      <c r="S252" s="12"/>
    </row>
    <row r="253" customFormat="false" ht="15" hidden="false" customHeight="false" outlineLevel="0" collapsed="false">
      <c r="A253" s="12" t="s">
        <v>3034</v>
      </c>
      <c r="B253" s="12" t="s">
        <v>1305</v>
      </c>
      <c r="C253" s="12" t="s">
        <v>2292</v>
      </c>
      <c r="D253" s="12" t="s">
        <v>2293</v>
      </c>
      <c r="E253" s="12" t="n">
        <v>30</v>
      </c>
      <c r="F253" s="12" t="n">
        <v>8</v>
      </c>
      <c r="G253" s="15" t="n">
        <v>13000</v>
      </c>
      <c r="H253" s="15" t="n">
        <v>14500</v>
      </c>
      <c r="I253" s="12" t="s">
        <v>3035</v>
      </c>
      <c r="J253" s="17" t="n">
        <v>46641</v>
      </c>
      <c r="K253" s="12" t="s">
        <v>1120</v>
      </c>
      <c r="L253" s="12" t="n">
        <v>21</v>
      </c>
      <c r="M253" s="15" t="n">
        <f aca="false">E253*G253</f>
        <v>390000</v>
      </c>
      <c r="N253" s="15" t="n">
        <f aca="false">E253*H253</f>
        <v>435000</v>
      </c>
      <c r="O253" s="18" t="n">
        <f aca="false">IF(H253=0,"",(H253-G253)/H253)</f>
        <v>0.103448275862069</v>
      </c>
      <c r="P253" s="12" t="n">
        <f aca="false">IF(J253="","",J253-README!$C$4)</f>
        <v>319</v>
      </c>
      <c r="Q253" s="12" t="str">
        <f aca="false">IF(E253=0,"Out of stock",IF(E253&lt;=F253,"Low stock","OK"))</f>
        <v>OK</v>
      </c>
      <c r="R253" s="12" t="str">
        <f aca="false">IF(J253="","No expiry",IF(P253&lt;0,"Expired",IF(P253&lt;=30,"Expiring &lt;=30 days","OK")))</f>
        <v>OK</v>
      </c>
      <c r="S253" s="12"/>
    </row>
    <row r="254" customFormat="false" ht="15" hidden="false" customHeight="false" outlineLevel="0" collapsed="false">
      <c r="A254" s="12" t="s">
        <v>3036</v>
      </c>
      <c r="B254" s="12" t="s">
        <v>1305</v>
      </c>
      <c r="C254" s="12" t="s">
        <v>2302</v>
      </c>
      <c r="D254" s="12" t="s">
        <v>2303</v>
      </c>
      <c r="E254" s="12" t="n">
        <v>48</v>
      </c>
      <c r="F254" s="12" t="n">
        <v>8</v>
      </c>
      <c r="G254" s="15" t="n">
        <v>9700</v>
      </c>
      <c r="H254" s="15" t="n">
        <v>12000</v>
      </c>
      <c r="I254" s="12" t="s">
        <v>3037</v>
      </c>
      <c r="J254" s="17" t="n">
        <v>46504</v>
      </c>
      <c r="K254" s="12" t="s">
        <v>1120</v>
      </c>
      <c r="L254" s="12" t="n">
        <v>33</v>
      </c>
      <c r="M254" s="15" t="n">
        <f aca="false">E254*G254</f>
        <v>465600</v>
      </c>
      <c r="N254" s="15" t="n">
        <f aca="false">E254*H254</f>
        <v>576000</v>
      </c>
      <c r="O254" s="18" t="n">
        <f aca="false">IF(H254=0,"",(H254-G254)/H254)</f>
        <v>0.191666666666667</v>
      </c>
      <c r="P254" s="12" t="n">
        <f aca="false">IF(J254="","",J254-README!$C$4)</f>
        <v>182</v>
      </c>
      <c r="Q254" s="12" t="str">
        <f aca="false">IF(E254=0,"Out of stock",IF(E254&lt;=F254,"Low stock","OK"))</f>
        <v>OK</v>
      </c>
      <c r="R254" s="12" t="str">
        <f aca="false">IF(J254="","No expiry",IF(P254&lt;0,"Expired",IF(P254&lt;=30,"Expiring &lt;=30 days","OK")))</f>
        <v>OK</v>
      </c>
      <c r="S254" s="12"/>
    </row>
    <row r="255" customFormat="false" ht="15" hidden="false" customHeight="false" outlineLevel="0" collapsed="false">
      <c r="A255" s="12" t="s">
        <v>3038</v>
      </c>
      <c r="B255" s="12" t="s">
        <v>1305</v>
      </c>
      <c r="C255" s="12" t="s">
        <v>2298</v>
      </c>
      <c r="D255" s="12" t="s">
        <v>2300</v>
      </c>
      <c r="E255" s="12" t="n">
        <v>39</v>
      </c>
      <c r="F255" s="12" t="n">
        <v>8</v>
      </c>
      <c r="G255" s="15" t="n">
        <v>6100</v>
      </c>
      <c r="H255" s="15" t="n">
        <v>7100</v>
      </c>
      <c r="I255" s="12" t="s">
        <v>3039</v>
      </c>
      <c r="J255" s="17" t="n">
        <v>46674</v>
      </c>
      <c r="K255" s="12" t="s">
        <v>1120</v>
      </c>
      <c r="L255" s="12" t="n">
        <v>27</v>
      </c>
      <c r="M255" s="15" t="n">
        <f aca="false">E255*G255</f>
        <v>237900</v>
      </c>
      <c r="N255" s="15" t="n">
        <f aca="false">E255*H255</f>
        <v>276900</v>
      </c>
      <c r="O255" s="18" t="n">
        <f aca="false">IF(H255=0,"",(H255-G255)/H255)</f>
        <v>0.140845070422535</v>
      </c>
      <c r="P255" s="12" t="n">
        <f aca="false">IF(J255="","",J255-README!$C$4)</f>
        <v>352</v>
      </c>
      <c r="Q255" s="12" t="str">
        <f aca="false">IF(E255=0,"Out of stock",IF(E255&lt;=F255,"Low stock","OK"))</f>
        <v>OK</v>
      </c>
      <c r="R255" s="12" t="str">
        <f aca="false">IF(J255="","No expiry",IF(P255&lt;0,"Expired",IF(P255&lt;=30,"Expiring &lt;=30 days","OK")))</f>
        <v>OK</v>
      </c>
      <c r="S255" s="12"/>
    </row>
    <row r="256" customFormat="false" ht="15" hidden="false" customHeight="false" outlineLevel="0" collapsed="false">
      <c r="A256" s="12" t="s">
        <v>3040</v>
      </c>
      <c r="B256" s="12" t="s">
        <v>1305</v>
      </c>
      <c r="C256" s="12" t="s">
        <v>2305</v>
      </c>
      <c r="D256" s="12" t="s">
        <v>2306</v>
      </c>
      <c r="E256" s="12" t="n">
        <v>158</v>
      </c>
      <c r="F256" s="12" t="n">
        <v>28</v>
      </c>
      <c r="G256" s="15" t="n">
        <v>4400</v>
      </c>
      <c r="H256" s="15" t="n">
        <v>5100</v>
      </c>
      <c r="I256" s="12" t="s">
        <v>3041</v>
      </c>
      <c r="J256" s="17" t="n">
        <v>46473</v>
      </c>
      <c r="K256" s="12" t="s">
        <v>1120</v>
      </c>
      <c r="L256" s="12" t="n">
        <v>110</v>
      </c>
      <c r="M256" s="15" t="n">
        <f aca="false">E256*G256</f>
        <v>695200</v>
      </c>
      <c r="N256" s="15" t="n">
        <f aca="false">E256*H256</f>
        <v>805800</v>
      </c>
      <c r="O256" s="18" t="n">
        <f aca="false">IF(H256=0,"",(H256-G256)/H256)</f>
        <v>0.137254901960784</v>
      </c>
      <c r="P256" s="12" t="n">
        <f aca="false">IF(J256="","",J256-README!$C$4)</f>
        <v>151</v>
      </c>
      <c r="Q256" s="12" t="str">
        <f aca="false">IF(E256=0,"Out of stock",IF(E256&lt;=F256,"Low stock","OK"))</f>
        <v>OK</v>
      </c>
      <c r="R256" s="12" t="str">
        <f aca="false">IF(J256="","No expiry",IF(P256&lt;0,"Expired",IF(P256&lt;=30,"Expiring &lt;=30 days","OK")))</f>
        <v>OK</v>
      </c>
      <c r="S256" s="12"/>
    </row>
    <row r="257" customFormat="false" ht="15" hidden="false" customHeight="false" outlineLevel="0" collapsed="false">
      <c r="A257" s="12" t="s">
        <v>3042</v>
      </c>
      <c r="B257" s="12" t="s">
        <v>1305</v>
      </c>
      <c r="C257" s="12" t="s">
        <v>2308</v>
      </c>
      <c r="D257" s="12" t="s">
        <v>2309</v>
      </c>
      <c r="E257" s="12" t="n">
        <v>148</v>
      </c>
      <c r="F257" s="12" t="n">
        <v>28</v>
      </c>
      <c r="G257" s="15" t="n">
        <v>8200</v>
      </c>
      <c r="H257" s="15" t="n">
        <v>9200</v>
      </c>
      <c r="I257" s="12" t="s">
        <v>3043</v>
      </c>
      <c r="J257" s="17" t="n">
        <v>46472</v>
      </c>
      <c r="K257" s="12" t="s">
        <v>1111</v>
      </c>
      <c r="L257" s="12" t="n">
        <v>0</v>
      </c>
      <c r="M257" s="15" t="n">
        <f aca="false">E257*G257</f>
        <v>1213600</v>
      </c>
      <c r="N257" s="15" t="n">
        <f aca="false">E257*H257</f>
        <v>1361600</v>
      </c>
      <c r="O257" s="18" t="n">
        <f aca="false">IF(H257=0,"",(H257-G257)/H257)</f>
        <v>0.108695652173913</v>
      </c>
      <c r="P257" s="12" t="n">
        <f aca="false">IF(J257="","",J257-README!$C$4)</f>
        <v>150</v>
      </c>
      <c r="Q257" s="12" t="str">
        <f aca="false">IF(E257=0,"Out of stock",IF(E257&lt;=F257,"Low stock","OK"))</f>
        <v>OK</v>
      </c>
      <c r="R257" s="12" t="str">
        <f aca="false">IF(J257="","No expiry",IF(P257&lt;0,"Expired",IF(P257&lt;=30,"Expiring &lt;=30 days","OK")))</f>
        <v>OK</v>
      </c>
      <c r="S257" s="12"/>
    </row>
    <row r="258" customFormat="false" ht="15" hidden="false" customHeight="false" outlineLevel="0" collapsed="false">
      <c r="A258" s="12" t="s">
        <v>3044</v>
      </c>
      <c r="B258" s="12" t="s">
        <v>1305</v>
      </c>
      <c r="C258" s="12" t="s">
        <v>2311</v>
      </c>
      <c r="D258" s="12" t="s">
        <v>2312</v>
      </c>
      <c r="E258" s="12" t="n">
        <v>16</v>
      </c>
      <c r="F258" s="12" t="n">
        <v>8</v>
      </c>
      <c r="G258" s="15" t="n">
        <v>12400</v>
      </c>
      <c r="H258" s="15" t="n">
        <v>14500</v>
      </c>
      <c r="I258" s="12" t="s">
        <v>3045</v>
      </c>
      <c r="J258" s="17" t="n">
        <v>46530</v>
      </c>
      <c r="K258" s="12" t="s">
        <v>1120</v>
      </c>
      <c r="L258" s="12" t="n">
        <v>11</v>
      </c>
      <c r="M258" s="15" t="n">
        <f aca="false">E258*G258</f>
        <v>198400</v>
      </c>
      <c r="N258" s="15" t="n">
        <f aca="false">E258*H258</f>
        <v>232000</v>
      </c>
      <c r="O258" s="18" t="n">
        <f aca="false">IF(H258=0,"",(H258-G258)/H258)</f>
        <v>0.144827586206897</v>
      </c>
      <c r="P258" s="12" t="n">
        <f aca="false">IF(J258="","",J258-README!$C$4)</f>
        <v>208</v>
      </c>
      <c r="Q258" s="12" t="str">
        <f aca="false">IF(E258=0,"Out of stock",IF(E258&lt;=F258,"Low stock","OK"))</f>
        <v>OK</v>
      </c>
      <c r="R258" s="12" t="str">
        <f aca="false">IF(J258="","No expiry",IF(P258&lt;0,"Expired",IF(P258&lt;=30,"Expiring &lt;=30 days","OK")))</f>
        <v>OK</v>
      </c>
      <c r="S258" s="12"/>
    </row>
    <row r="259" customFormat="false" ht="15" hidden="false" customHeight="false" outlineLevel="0" collapsed="false">
      <c r="A259" s="12" t="s">
        <v>3046</v>
      </c>
      <c r="B259" s="12" t="s">
        <v>1305</v>
      </c>
      <c r="C259" s="12" t="s">
        <v>2317</v>
      </c>
      <c r="D259" s="12" t="s">
        <v>2318</v>
      </c>
      <c r="E259" s="12" t="n">
        <v>32</v>
      </c>
      <c r="F259" s="12" t="n">
        <v>8</v>
      </c>
      <c r="G259" s="15" t="n">
        <v>25200</v>
      </c>
      <c r="H259" s="15" t="n">
        <v>28500</v>
      </c>
      <c r="I259" s="12" t="s">
        <v>3047</v>
      </c>
      <c r="J259" s="17" t="n">
        <v>46523</v>
      </c>
      <c r="K259" s="12" t="s">
        <v>1120</v>
      </c>
      <c r="L259" s="12" t="n">
        <v>22</v>
      </c>
      <c r="M259" s="15" t="n">
        <f aca="false">E259*G259</f>
        <v>806400</v>
      </c>
      <c r="N259" s="15" t="n">
        <f aca="false">E259*H259</f>
        <v>912000</v>
      </c>
      <c r="O259" s="18" t="n">
        <f aca="false">IF(H259=0,"",(H259-G259)/H259)</f>
        <v>0.115789473684211</v>
      </c>
      <c r="P259" s="12" t="n">
        <f aca="false">IF(J259="","",J259-README!$C$4)</f>
        <v>201</v>
      </c>
      <c r="Q259" s="12" t="str">
        <f aca="false">IF(E259=0,"Out of stock",IF(E259&lt;=F259,"Low stock","OK"))</f>
        <v>OK</v>
      </c>
      <c r="R259" s="12" t="str">
        <f aca="false">IF(J259="","No expiry",IF(P259&lt;0,"Expired",IF(P259&lt;=30,"Expiring &lt;=30 days","OK")))</f>
        <v>OK</v>
      </c>
      <c r="S259" s="12"/>
    </row>
    <row r="260" customFormat="false" ht="15" hidden="false" customHeight="false" outlineLevel="0" collapsed="false">
      <c r="A260" s="12" t="s">
        <v>3048</v>
      </c>
      <c r="B260" s="12" t="s">
        <v>1305</v>
      </c>
      <c r="C260" s="12" t="s">
        <v>2314</v>
      </c>
      <c r="D260" s="12" t="s">
        <v>2315</v>
      </c>
      <c r="E260" s="12" t="n">
        <v>10</v>
      </c>
      <c r="F260" s="12" t="n">
        <v>8</v>
      </c>
      <c r="G260" s="15" t="n">
        <v>13500</v>
      </c>
      <c r="H260" s="15" t="n">
        <v>16500</v>
      </c>
      <c r="I260" s="12" t="s">
        <v>3049</v>
      </c>
      <c r="J260" s="17" t="n">
        <v>46871</v>
      </c>
      <c r="K260" s="12" t="s">
        <v>1120</v>
      </c>
      <c r="L260" s="12" t="n">
        <v>7</v>
      </c>
      <c r="M260" s="15" t="n">
        <f aca="false">E260*G260</f>
        <v>135000</v>
      </c>
      <c r="N260" s="15" t="n">
        <f aca="false">E260*H260</f>
        <v>165000</v>
      </c>
      <c r="O260" s="18" t="n">
        <f aca="false">IF(H260=0,"",(H260-G260)/H260)</f>
        <v>0.181818181818182</v>
      </c>
      <c r="P260" s="12" t="n">
        <f aca="false">IF(J260="","",J260-README!$C$4)</f>
        <v>549</v>
      </c>
      <c r="Q260" s="12" t="str">
        <f aca="false">IF(E260=0,"Out of stock",IF(E260&lt;=F260,"Low stock","OK"))</f>
        <v>OK</v>
      </c>
      <c r="R260" s="12" t="str">
        <f aca="false">IF(J260="","No expiry",IF(P260&lt;0,"Expired",IF(P260&lt;=30,"Expiring &lt;=30 days","OK")))</f>
        <v>OK</v>
      </c>
      <c r="S260" s="12"/>
    </row>
    <row r="261" customFormat="false" ht="15" hidden="false" customHeight="false" outlineLevel="0" collapsed="false">
      <c r="A261" s="12" t="s">
        <v>3050</v>
      </c>
      <c r="B261" s="12" t="s">
        <v>1305</v>
      </c>
      <c r="C261" s="12" t="s">
        <v>2320</v>
      </c>
      <c r="D261" s="12" t="s">
        <v>2321</v>
      </c>
      <c r="E261" s="12" t="n">
        <v>109</v>
      </c>
      <c r="F261" s="12" t="n">
        <v>28</v>
      </c>
      <c r="G261" s="15" t="n">
        <v>3200</v>
      </c>
      <c r="H261" s="15" t="n">
        <v>3600</v>
      </c>
      <c r="I261" s="12" t="s">
        <v>3051</v>
      </c>
      <c r="J261" s="17" t="n">
        <v>47054</v>
      </c>
      <c r="K261" s="12" t="s">
        <v>1120</v>
      </c>
      <c r="L261" s="12" t="n">
        <v>76</v>
      </c>
      <c r="M261" s="15" t="n">
        <f aca="false">E261*G261</f>
        <v>348800</v>
      </c>
      <c r="N261" s="15" t="n">
        <f aca="false">E261*H261</f>
        <v>392400</v>
      </c>
      <c r="O261" s="18" t="n">
        <f aca="false">IF(H261=0,"",(H261-G261)/H261)</f>
        <v>0.111111111111111</v>
      </c>
      <c r="P261" s="12" t="n">
        <f aca="false">IF(J261="","",J261-README!$C$4)</f>
        <v>732</v>
      </c>
      <c r="Q261" s="12" t="str">
        <f aca="false">IF(E261=0,"Out of stock",IF(E261&lt;=F261,"Low stock","OK"))</f>
        <v>OK</v>
      </c>
      <c r="R261" s="12" t="str">
        <f aca="false">IF(J261="","No expiry",IF(P261&lt;0,"Expired",IF(P261&lt;=30,"Expiring &lt;=30 days","OK")))</f>
        <v>OK</v>
      </c>
      <c r="S261" s="12"/>
    </row>
    <row r="262" customFormat="false" ht="15" hidden="false" customHeight="false" outlineLevel="0" collapsed="false">
      <c r="A262" s="12" t="s">
        <v>3052</v>
      </c>
      <c r="B262" s="12" t="s">
        <v>1305</v>
      </c>
      <c r="C262" s="12" t="s">
        <v>2323</v>
      </c>
      <c r="D262" s="12" t="s">
        <v>2324</v>
      </c>
      <c r="E262" s="12" t="n">
        <v>10</v>
      </c>
      <c r="F262" s="12" t="n">
        <v>8</v>
      </c>
      <c r="G262" s="15" t="n">
        <v>11800</v>
      </c>
      <c r="H262" s="15" t="n">
        <v>14500</v>
      </c>
      <c r="I262" s="12" t="s">
        <v>3053</v>
      </c>
      <c r="J262" s="17" t="n">
        <v>46613</v>
      </c>
      <c r="K262" s="12" t="s">
        <v>1120</v>
      </c>
      <c r="L262" s="12" t="n">
        <v>7</v>
      </c>
      <c r="M262" s="15" t="n">
        <f aca="false">E262*G262</f>
        <v>118000</v>
      </c>
      <c r="N262" s="15" t="n">
        <f aca="false">E262*H262</f>
        <v>145000</v>
      </c>
      <c r="O262" s="18" t="n">
        <f aca="false">IF(H262=0,"",(H262-G262)/H262)</f>
        <v>0.186206896551724</v>
      </c>
      <c r="P262" s="12" t="n">
        <f aca="false">IF(J262="","",J262-README!$C$4)</f>
        <v>291</v>
      </c>
      <c r="Q262" s="12" t="str">
        <f aca="false">IF(E262=0,"Out of stock",IF(E262&lt;=F262,"Low stock","OK"))</f>
        <v>OK</v>
      </c>
      <c r="R262" s="12" t="str">
        <f aca="false">IF(J262="","No expiry",IF(P262&lt;0,"Expired",IF(P262&lt;=30,"Expiring &lt;=30 days","OK")))</f>
        <v>OK</v>
      </c>
      <c r="S262" s="12"/>
    </row>
    <row r="263" customFormat="false" ht="15" hidden="false" customHeight="false" outlineLevel="0" collapsed="false">
      <c r="A263" s="12" t="s">
        <v>3054</v>
      </c>
      <c r="B263" s="12" t="s">
        <v>1305</v>
      </c>
      <c r="C263" s="12" t="s">
        <v>2329</v>
      </c>
      <c r="D263" s="12" t="s">
        <v>2330</v>
      </c>
      <c r="E263" s="12" t="n">
        <v>11</v>
      </c>
      <c r="F263" s="12" t="n">
        <v>8</v>
      </c>
      <c r="G263" s="15" t="n">
        <v>12200</v>
      </c>
      <c r="H263" s="15" t="n">
        <v>14500</v>
      </c>
      <c r="I263" s="12" t="s">
        <v>3055</v>
      </c>
      <c r="J263" s="17" t="n">
        <v>46676</v>
      </c>
      <c r="K263" s="12" t="s">
        <v>1120</v>
      </c>
      <c r="L263" s="12" t="n">
        <v>7</v>
      </c>
      <c r="M263" s="15" t="n">
        <f aca="false">E263*G263</f>
        <v>134200</v>
      </c>
      <c r="N263" s="15" t="n">
        <f aca="false">E263*H263</f>
        <v>159500</v>
      </c>
      <c r="O263" s="18" t="n">
        <f aca="false">IF(H263=0,"",(H263-G263)/H263)</f>
        <v>0.158620689655172</v>
      </c>
      <c r="P263" s="12" t="n">
        <f aca="false">IF(J263="","",J263-README!$C$4)</f>
        <v>354</v>
      </c>
      <c r="Q263" s="12" t="str">
        <f aca="false">IF(E263=0,"Out of stock",IF(E263&lt;=F263,"Low stock","OK"))</f>
        <v>OK</v>
      </c>
      <c r="R263" s="12" t="str">
        <f aca="false">IF(J263="","No expiry",IF(P263&lt;0,"Expired",IF(P263&lt;=30,"Expiring &lt;=30 days","OK")))</f>
        <v>OK</v>
      </c>
      <c r="S263" s="12"/>
    </row>
    <row r="264" customFormat="false" ht="15" hidden="false" customHeight="false" outlineLevel="0" collapsed="false">
      <c r="A264" s="12" t="s">
        <v>3056</v>
      </c>
      <c r="B264" s="12" t="s">
        <v>1305</v>
      </c>
      <c r="C264" s="12" t="s">
        <v>2326</v>
      </c>
      <c r="D264" s="12" t="s">
        <v>2327</v>
      </c>
      <c r="E264" s="12" t="n">
        <v>15</v>
      </c>
      <c r="F264" s="12" t="n">
        <v>8</v>
      </c>
      <c r="G264" s="15" t="n">
        <v>6600</v>
      </c>
      <c r="H264" s="15" t="n">
        <v>8200</v>
      </c>
      <c r="I264" s="12" t="s">
        <v>3057</v>
      </c>
      <c r="J264" s="17" t="n">
        <v>46683</v>
      </c>
      <c r="K264" s="12" t="s">
        <v>1120</v>
      </c>
      <c r="L264" s="12" t="n">
        <v>10</v>
      </c>
      <c r="M264" s="15" t="n">
        <f aca="false">E264*G264</f>
        <v>99000</v>
      </c>
      <c r="N264" s="15" t="n">
        <f aca="false">E264*H264</f>
        <v>123000</v>
      </c>
      <c r="O264" s="18" t="n">
        <f aca="false">IF(H264=0,"",(H264-G264)/H264)</f>
        <v>0.195121951219512</v>
      </c>
      <c r="P264" s="12" t="n">
        <f aca="false">IF(J264="","",J264-README!$C$4)</f>
        <v>361</v>
      </c>
      <c r="Q264" s="12" t="str">
        <f aca="false">IF(E264=0,"Out of stock",IF(E264&lt;=F264,"Low stock","OK"))</f>
        <v>OK</v>
      </c>
      <c r="R264" s="12" t="str">
        <f aca="false">IF(J264="","No expiry",IF(P264&lt;0,"Expired",IF(P264&lt;=30,"Expiring &lt;=30 days","OK")))</f>
        <v>OK</v>
      </c>
      <c r="S264" s="12"/>
    </row>
    <row r="265" customFormat="false" ht="15" hidden="false" customHeight="false" outlineLevel="0" collapsed="false">
      <c r="A265" s="12" t="s">
        <v>3058</v>
      </c>
      <c r="B265" s="12" t="s">
        <v>1305</v>
      </c>
      <c r="C265" s="12" t="s">
        <v>2332</v>
      </c>
      <c r="D265" s="12" t="s">
        <v>2333</v>
      </c>
      <c r="E265" s="12" t="n">
        <v>4</v>
      </c>
      <c r="F265" s="12" t="n">
        <v>10</v>
      </c>
      <c r="G265" s="15" t="n">
        <v>4500</v>
      </c>
      <c r="H265" s="15" t="n">
        <v>5100</v>
      </c>
      <c r="I265" s="12" t="s">
        <v>3059</v>
      </c>
      <c r="J265" s="17" t="n">
        <v>46485</v>
      </c>
      <c r="K265" s="12" t="s">
        <v>1120</v>
      </c>
      <c r="L265" s="12" t="n">
        <v>2</v>
      </c>
      <c r="M265" s="15" t="n">
        <f aca="false">E265*G265</f>
        <v>18000</v>
      </c>
      <c r="N265" s="15" t="n">
        <f aca="false">E265*H265</f>
        <v>20400</v>
      </c>
      <c r="O265" s="18" t="n">
        <f aca="false">IF(H265=0,"",(H265-G265)/H265)</f>
        <v>0.117647058823529</v>
      </c>
      <c r="P265" s="12" t="n">
        <f aca="false">IF(J265="","",J265-README!$C$4)</f>
        <v>163</v>
      </c>
      <c r="Q265" s="12" t="str">
        <f aca="false">IF(E265=0,"Out of stock",IF(E265&lt;=F265,"Low stock","OK"))</f>
        <v>Low stock</v>
      </c>
      <c r="R265" s="12" t="str">
        <f aca="false">IF(J265="","No expiry",IF(P265&lt;0,"Expired",IF(P265&lt;=30,"Expiring &lt;=30 days","OK")))</f>
        <v>OK</v>
      </c>
      <c r="S265" s="19" t="s">
        <v>2606</v>
      </c>
    </row>
    <row r="266" customFormat="false" ht="15" hidden="false" customHeight="false" outlineLevel="0" collapsed="false">
      <c r="A266" s="12" t="s">
        <v>3060</v>
      </c>
      <c r="B266" s="12" t="s">
        <v>1305</v>
      </c>
      <c r="C266" s="12" t="s">
        <v>2338</v>
      </c>
      <c r="D266" s="12" t="s">
        <v>2339</v>
      </c>
      <c r="E266" s="12" t="n">
        <v>25</v>
      </c>
      <c r="F266" s="12" t="n">
        <v>8</v>
      </c>
      <c r="G266" s="15" t="n">
        <v>10700</v>
      </c>
      <c r="H266" s="15" t="n">
        <v>12000</v>
      </c>
      <c r="I266" s="12" t="s">
        <v>3061</v>
      </c>
      <c r="J266" s="17" t="n">
        <v>46675</v>
      </c>
      <c r="K266" s="12" t="s">
        <v>1120</v>
      </c>
      <c r="L266" s="12" t="n">
        <v>17</v>
      </c>
      <c r="M266" s="15" t="n">
        <f aca="false">E266*G266</f>
        <v>267500</v>
      </c>
      <c r="N266" s="15" t="n">
        <f aca="false">E266*H266</f>
        <v>300000</v>
      </c>
      <c r="O266" s="18" t="n">
        <f aca="false">IF(H266=0,"",(H266-G266)/H266)</f>
        <v>0.108333333333333</v>
      </c>
      <c r="P266" s="12" t="n">
        <f aca="false">IF(J266="","",J266-README!$C$4)</f>
        <v>353</v>
      </c>
      <c r="Q266" s="12" t="str">
        <f aca="false">IF(E266=0,"Out of stock",IF(E266&lt;=F266,"Low stock","OK"))</f>
        <v>OK</v>
      </c>
      <c r="R266" s="12" t="str">
        <f aca="false">IF(J266="","No expiry",IF(P266&lt;0,"Expired",IF(P266&lt;=30,"Expiring &lt;=30 days","OK")))</f>
        <v>OK</v>
      </c>
      <c r="S266" s="12"/>
    </row>
    <row r="267" customFormat="false" ht="15" hidden="false" customHeight="false" outlineLevel="0" collapsed="false">
      <c r="A267" s="12" t="s">
        <v>3062</v>
      </c>
      <c r="B267" s="12" t="s">
        <v>1305</v>
      </c>
      <c r="C267" s="12" t="s">
        <v>2341</v>
      </c>
      <c r="D267" s="12" t="s">
        <v>2342</v>
      </c>
      <c r="E267" s="12" t="n">
        <v>46</v>
      </c>
      <c r="F267" s="12" t="n">
        <v>8</v>
      </c>
      <c r="G267" s="15" t="n">
        <v>70100</v>
      </c>
      <c r="H267" s="15" t="n">
        <v>86500</v>
      </c>
      <c r="I267" s="12" t="s">
        <v>3063</v>
      </c>
      <c r="J267" s="17" t="n">
        <v>46557</v>
      </c>
      <c r="K267" s="12" t="s">
        <v>1120</v>
      </c>
      <c r="L267" s="12" t="n">
        <v>32</v>
      </c>
      <c r="M267" s="15" t="n">
        <f aca="false">E267*G267</f>
        <v>3224600</v>
      </c>
      <c r="N267" s="15" t="n">
        <f aca="false">E267*H267</f>
        <v>3979000</v>
      </c>
      <c r="O267" s="18" t="n">
        <f aca="false">IF(H267=0,"",(H267-G267)/H267)</f>
        <v>0.189595375722543</v>
      </c>
      <c r="P267" s="12" t="n">
        <f aca="false">IF(J267="","",J267-README!$C$4)</f>
        <v>235</v>
      </c>
      <c r="Q267" s="12" t="str">
        <f aca="false">IF(E267=0,"Out of stock",IF(E267&lt;=F267,"Low stock","OK"))</f>
        <v>OK</v>
      </c>
      <c r="R267" s="12" t="str">
        <f aca="false">IF(J267="","No expiry",IF(P267&lt;0,"Expired",IF(P267&lt;=30,"Expiring &lt;=30 days","OK")))</f>
        <v>OK</v>
      </c>
      <c r="S267" s="12"/>
    </row>
    <row r="268" customFormat="false" ht="15" hidden="false" customHeight="false" outlineLevel="0" collapsed="false">
      <c r="A268" s="12" t="s">
        <v>3064</v>
      </c>
      <c r="B268" s="12" t="s">
        <v>1305</v>
      </c>
      <c r="C268" s="12" t="s">
        <v>2348</v>
      </c>
      <c r="D268" s="12" t="s">
        <v>2349</v>
      </c>
      <c r="E268" s="12" t="n">
        <v>40</v>
      </c>
      <c r="F268" s="12" t="n">
        <v>8</v>
      </c>
      <c r="G268" s="15" t="n">
        <v>27300</v>
      </c>
      <c r="H268" s="15" t="n">
        <v>30500</v>
      </c>
      <c r="I268" s="12" t="s">
        <v>3065</v>
      </c>
      <c r="J268" s="17" t="n">
        <v>46784</v>
      </c>
      <c r="K268" s="12" t="s">
        <v>1120</v>
      </c>
      <c r="L268" s="12" t="n">
        <v>28</v>
      </c>
      <c r="M268" s="15" t="n">
        <f aca="false">E268*G268</f>
        <v>1092000</v>
      </c>
      <c r="N268" s="15" t="n">
        <f aca="false">E268*H268</f>
        <v>1220000</v>
      </c>
      <c r="O268" s="18" t="n">
        <f aca="false">IF(H268=0,"",(H268-G268)/H268)</f>
        <v>0.104918032786885</v>
      </c>
      <c r="P268" s="12" t="n">
        <f aca="false">IF(J268="","",J268-README!$C$4)</f>
        <v>462</v>
      </c>
      <c r="Q268" s="12" t="str">
        <f aca="false">IF(E268=0,"Out of stock",IF(E268&lt;=F268,"Low stock","OK"))</f>
        <v>OK</v>
      </c>
      <c r="R268" s="12" t="str">
        <f aca="false">IF(J268="","No expiry",IF(P268&lt;0,"Expired",IF(P268&lt;=30,"Expiring &lt;=30 days","OK")))</f>
        <v>OK</v>
      </c>
      <c r="S268" s="12"/>
    </row>
    <row r="269" customFormat="false" ht="15" hidden="false" customHeight="false" outlineLevel="0" collapsed="false">
      <c r="A269" s="12" t="s">
        <v>3066</v>
      </c>
      <c r="B269" s="12" t="s">
        <v>1305</v>
      </c>
      <c r="C269" s="12" t="s">
        <v>2344</v>
      </c>
      <c r="D269" s="12" t="s">
        <v>2346</v>
      </c>
      <c r="E269" s="12" t="n">
        <v>32</v>
      </c>
      <c r="F269" s="12" t="n">
        <v>8</v>
      </c>
      <c r="G269" s="15" t="n">
        <v>8000</v>
      </c>
      <c r="H269" s="15" t="n">
        <v>9200</v>
      </c>
      <c r="I269" s="12" t="s">
        <v>3067</v>
      </c>
      <c r="J269" s="17" t="n">
        <v>47006</v>
      </c>
      <c r="K269" s="12" t="s">
        <v>1120</v>
      </c>
      <c r="L269" s="12" t="n">
        <v>22</v>
      </c>
      <c r="M269" s="15" t="n">
        <f aca="false">E269*G269</f>
        <v>256000</v>
      </c>
      <c r="N269" s="15" t="n">
        <f aca="false">E269*H269</f>
        <v>294400</v>
      </c>
      <c r="O269" s="18" t="n">
        <f aca="false">IF(H269=0,"",(H269-G269)/H269)</f>
        <v>0.130434782608696</v>
      </c>
      <c r="P269" s="12" t="n">
        <f aca="false">IF(J269="","",J269-README!$C$4)</f>
        <v>684</v>
      </c>
      <c r="Q269" s="12" t="str">
        <f aca="false">IF(E269=0,"Out of stock",IF(E269&lt;=F269,"Low stock","OK"))</f>
        <v>OK</v>
      </c>
      <c r="R269" s="12" t="str">
        <f aca="false">IF(J269="","No expiry",IF(P269&lt;0,"Expired",IF(P269&lt;=30,"Expiring &lt;=30 days","OK")))</f>
        <v>OK</v>
      </c>
      <c r="S269" s="12"/>
    </row>
    <row r="270" customFormat="false" ht="15" hidden="false" customHeight="false" outlineLevel="0" collapsed="false">
      <c r="A270" s="12" t="s">
        <v>3068</v>
      </c>
      <c r="B270" s="12" t="s">
        <v>1305</v>
      </c>
      <c r="C270" s="12" t="s">
        <v>2351</v>
      </c>
      <c r="D270" s="12" t="s">
        <v>2352</v>
      </c>
      <c r="E270" s="12" t="n">
        <v>37</v>
      </c>
      <c r="F270" s="12" t="n">
        <v>8</v>
      </c>
      <c r="G270" s="15" t="n">
        <v>18900</v>
      </c>
      <c r="H270" s="15" t="n">
        <v>22500</v>
      </c>
      <c r="I270" s="12" t="s">
        <v>3069</v>
      </c>
      <c r="J270" s="17" t="n">
        <v>46965</v>
      </c>
      <c r="K270" s="12" t="s">
        <v>1120</v>
      </c>
      <c r="L270" s="12" t="n">
        <v>25</v>
      </c>
      <c r="M270" s="15" t="n">
        <f aca="false">E270*G270</f>
        <v>699300</v>
      </c>
      <c r="N270" s="15" t="n">
        <f aca="false">E270*H270</f>
        <v>832500</v>
      </c>
      <c r="O270" s="18" t="n">
        <f aca="false">IF(H270=0,"",(H270-G270)/H270)</f>
        <v>0.16</v>
      </c>
      <c r="P270" s="12" t="n">
        <f aca="false">IF(J270="","",J270-README!$C$4)</f>
        <v>643</v>
      </c>
      <c r="Q270" s="12" t="str">
        <f aca="false">IF(E270=0,"Out of stock",IF(E270&lt;=F270,"Low stock","OK"))</f>
        <v>OK</v>
      </c>
      <c r="R270" s="12" t="str">
        <f aca="false">IF(J270="","No expiry",IF(P270&lt;0,"Expired",IF(P270&lt;=30,"Expiring &lt;=30 days","OK")))</f>
        <v>OK</v>
      </c>
      <c r="S270" s="12"/>
    </row>
    <row r="271" customFormat="false" ht="15" hidden="false" customHeight="false" outlineLevel="0" collapsed="false">
      <c r="A271" s="12" t="s">
        <v>3070</v>
      </c>
      <c r="B271" s="12" t="s">
        <v>1305</v>
      </c>
      <c r="C271" s="12" t="s">
        <v>2354</v>
      </c>
      <c r="D271" s="12" t="s">
        <v>2355</v>
      </c>
      <c r="E271" s="12" t="n">
        <v>21</v>
      </c>
      <c r="F271" s="12" t="n">
        <v>8</v>
      </c>
      <c r="G271" s="15" t="n">
        <v>5900</v>
      </c>
      <c r="H271" s="15" t="n">
        <v>7100</v>
      </c>
      <c r="I271" s="12" t="s">
        <v>3071</v>
      </c>
      <c r="J271" s="17" t="n">
        <v>47085</v>
      </c>
      <c r="K271" s="12" t="s">
        <v>1120</v>
      </c>
      <c r="L271" s="12" t="n">
        <v>14</v>
      </c>
      <c r="M271" s="15" t="n">
        <f aca="false">E271*G271</f>
        <v>123900</v>
      </c>
      <c r="N271" s="15" t="n">
        <f aca="false">E271*H271</f>
        <v>149100</v>
      </c>
      <c r="O271" s="18" t="n">
        <f aca="false">IF(H271=0,"",(H271-G271)/H271)</f>
        <v>0.169014084507042</v>
      </c>
      <c r="P271" s="12" t="n">
        <f aca="false">IF(J271="","",J271-README!$C$4)</f>
        <v>763</v>
      </c>
      <c r="Q271" s="12" t="str">
        <f aca="false">IF(E271=0,"Out of stock",IF(E271&lt;=F271,"Low stock","OK"))</f>
        <v>OK</v>
      </c>
      <c r="R271" s="12" t="str">
        <f aca="false">IF(J271="","No expiry",IF(P271&lt;0,"Expired",IF(P271&lt;=30,"Expiring &lt;=30 days","OK")))</f>
        <v>OK</v>
      </c>
      <c r="S271" s="12"/>
    </row>
    <row r="272" customFormat="false" ht="15" hidden="false" customHeight="false" outlineLevel="0" collapsed="false">
      <c r="A272" s="12" t="s">
        <v>3072</v>
      </c>
      <c r="B272" s="12" t="s">
        <v>1305</v>
      </c>
      <c r="C272" s="12" t="s">
        <v>2357</v>
      </c>
      <c r="D272" s="12" t="s">
        <v>2359</v>
      </c>
      <c r="E272" s="12" t="n">
        <v>10</v>
      </c>
      <c r="F272" s="12" t="n">
        <v>8</v>
      </c>
      <c r="G272" s="15" t="n">
        <v>11900</v>
      </c>
      <c r="H272" s="15" t="n">
        <v>13500</v>
      </c>
      <c r="I272" s="12" t="s">
        <v>3073</v>
      </c>
      <c r="J272" s="17" t="n">
        <v>46888</v>
      </c>
      <c r="K272" s="12" t="s">
        <v>1120</v>
      </c>
      <c r="L272" s="12" t="n">
        <v>7</v>
      </c>
      <c r="M272" s="15" t="n">
        <f aca="false">E272*G272</f>
        <v>119000</v>
      </c>
      <c r="N272" s="15" t="n">
        <f aca="false">E272*H272</f>
        <v>135000</v>
      </c>
      <c r="O272" s="18" t="n">
        <f aca="false">IF(H272=0,"",(H272-G272)/H272)</f>
        <v>0.118518518518519</v>
      </c>
      <c r="P272" s="12" t="n">
        <f aca="false">IF(J272="","",J272-README!$C$4)</f>
        <v>566</v>
      </c>
      <c r="Q272" s="12" t="str">
        <f aca="false">IF(E272=0,"Out of stock",IF(E272&lt;=F272,"Low stock","OK"))</f>
        <v>OK</v>
      </c>
      <c r="R272" s="12" t="str">
        <f aca="false">IF(J272="","No expiry",IF(P272&lt;0,"Expired",IF(P272&lt;=30,"Expiring &lt;=30 days","OK")))</f>
        <v>OK</v>
      </c>
      <c r="S272" s="12"/>
    </row>
    <row r="273" customFormat="false" ht="15" hidden="false" customHeight="false" outlineLevel="0" collapsed="false">
      <c r="A273" s="12" t="s">
        <v>3074</v>
      </c>
      <c r="B273" s="12" t="s">
        <v>1305</v>
      </c>
      <c r="C273" s="12" t="s">
        <v>2373</v>
      </c>
      <c r="D273" s="12" t="s">
        <v>2375</v>
      </c>
      <c r="E273" s="12" t="n">
        <v>14</v>
      </c>
      <c r="F273" s="12" t="n">
        <v>6</v>
      </c>
      <c r="G273" s="15" t="n">
        <v>18300</v>
      </c>
      <c r="H273" s="15" t="n">
        <v>22500</v>
      </c>
      <c r="I273" s="12" t="s">
        <v>3075</v>
      </c>
      <c r="J273" s="17" t="n">
        <v>46453</v>
      </c>
      <c r="K273" s="12" t="s">
        <v>1120</v>
      </c>
      <c r="L273" s="12" t="n">
        <v>9</v>
      </c>
      <c r="M273" s="15" t="n">
        <f aca="false">E273*G273</f>
        <v>256200</v>
      </c>
      <c r="N273" s="15" t="n">
        <f aca="false">E273*H273</f>
        <v>315000</v>
      </c>
      <c r="O273" s="18" t="n">
        <f aca="false">IF(H273=0,"",(H273-G273)/H273)</f>
        <v>0.186666666666667</v>
      </c>
      <c r="P273" s="12" t="n">
        <f aca="false">IF(J273="","",J273-README!$C$4)</f>
        <v>131</v>
      </c>
      <c r="Q273" s="12" t="str">
        <f aca="false">IF(E273=0,"Out of stock",IF(E273&lt;=F273,"Low stock","OK"))</f>
        <v>OK</v>
      </c>
      <c r="R273" s="12" t="str">
        <f aca="false">IF(J273="","No expiry",IF(P273&lt;0,"Expired",IF(P273&lt;=30,"Expiring &lt;=30 days","OK")))</f>
        <v>OK</v>
      </c>
      <c r="S273" s="12"/>
    </row>
    <row r="274" customFormat="false" ht="15" hidden="false" customHeight="false" outlineLevel="0" collapsed="false">
      <c r="A274" s="12" t="s">
        <v>3076</v>
      </c>
      <c r="B274" s="12" t="s">
        <v>1305</v>
      </c>
      <c r="C274" s="12" t="s">
        <v>2365</v>
      </c>
      <c r="D274" s="12" t="s">
        <v>2367</v>
      </c>
      <c r="E274" s="12" t="n">
        <v>26</v>
      </c>
      <c r="F274" s="12" t="n">
        <v>6</v>
      </c>
      <c r="G274" s="15" t="n">
        <v>3400</v>
      </c>
      <c r="H274" s="15" t="n">
        <v>4100</v>
      </c>
      <c r="I274" s="12" t="s">
        <v>3077</v>
      </c>
      <c r="J274" s="17" t="n">
        <v>46634</v>
      </c>
      <c r="K274" s="12" t="s">
        <v>1120</v>
      </c>
      <c r="L274" s="12" t="n">
        <v>18</v>
      </c>
      <c r="M274" s="15" t="n">
        <f aca="false">E274*G274</f>
        <v>88400</v>
      </c>
      <c r="N274" s="15" t="n">
        <f aca="false">E274*H274</f>
        <v>106600</v>
      </c>
      <c r="O274" s="18" t="n">
        <f aca="false">IF(H274=0,"",(H274-G274)/H274)</f>
        <v>0.170731707317073</v>
      </c>
      <c r="P274" s="12" t="n">
        <f aca="false">IF(J274="","",J274-README!$C$4)</f>
        <v>312</v>
      </c>
      <c r="Q274" s="12" t="str">
        <f aca="false">IF(E274=0,"Out of stock",IF(E274&lt;=F274,"Low stock","OK"))</f>
        <v>OK</v>
      </c>
      <c r="R274" s="12" t="str">
        <f aca="false">IF(J274="","No expiry",IF(P274&lt;0,"Expired",IF(P274&lt;=30,"Expiring &lt;=30 days","OK")))</f>
        <v>OK</v>
      </c>
      <c r="S274" s="12"/>
    </row>
    <row r="275" customFormat="false" ht="15" hidden="false" customHeight="false" outlineLevel="0" collapsed="false">
      <c r="A275" s="12" t="s">
        <v>3078</v>
      </c>
      <c r="B275" s="12" t="s">
        <v>1305</v>
      </c>
      <c r="C275" s="12" t="s">
        <v>2369</v>
      </c>
      <c r="D275" s="12" t="s">
        <v>2371</v>
      </c>
      <c r="E275" s="12" t="n">
        <v>29</v>
      </c>
      <c r="F275" s="12" t="n">
        <v>6</v>
      </c>
      <c r="G275" s="15" t="n">
        <v>11300</v>
      </c>
      <c r="H275" s="15" t="n">
        <v>13500</v>
      </c>
      <c r="I275" s="12" t="s">
        <v>3079</v>
      </c>
      <c r="J275" s="17" t="n">
        <v>46659</v>
      </c>
      <c r="K275" s="12" t="s">
        <v>1120</v>
      </c>
      <c r="L275" s="12" t="n">
        <v>20</v>
      </c>
      <c r="M275" s="15" t="n">
        <f aca="false">E275*G275</f>
        <v>327700</v>
      </c>
      <c r="N275" s="15" t="n">
        <f aca="false">E275*H275</f>
        <v>391500</v>
      </c>
      <c r="O275" s="18" t="n">
        <f aca="false">IF(H275=0,"",(H275-G275)/H275)</f>
        <v>0.162962962962963</v>
      </c>
      <c r="P275" s="12" t="n">
        <f aca="false">IF(J275="","",J275-README!$C$4)</f>
        <v>337</v>
      </c>
      <c r="Q275" s="12" t="str">
        <f aca="false">IF(E275=0,"Out of stock",IF(E275&lt;=F275,"Low stock","OK"))</f>
        <v>OK</v>
      </c>
      <c r="R275" s="12" t="str">
        <f aca="false">IF(J275="","No expiry",IF(P275&lt;0,"Expired",IF(P275&lt;=30,"Expiring &lt;=30 days","OK")))</f>
        <v>OK</v>
      </c>
      <c r="S275" s="12"/>
    </row>
    <row r="276" customFormat="false" ht="15" hidden="false" customHeight="false" outlineLevel="0" collapsed="false">
      <c r="A276" s="12" t="s">
        <v>3080</v>
      </c>
      <c r="B276" s="12" t="s">
        <v>1305</v>
      </c>
      <c r="C276" s="12" t="s">
        <v>2377</v>
      </c>
      <c r="D276" s="12" t="s">
        <v>2378</v>
      </c>
      <c r="E276" s="12" t="n">
        <v>8</v>
      </c>
      <c r="F276" s="12" t="n">
        <v>6</v>
      </c>
      <c r="G276" s="15" t="n">
        <v>2700</v>
      </c>
      <c r="H276" s="15" t="n">
        <v>3100</v>
      </c>
      <c r="I276" s="12" t="s">
        <v>3081</v>
      </c>
      <c r="J276" s="17" t="n">
        <v>46464</v>
      </c>
      <c r="K276" s="12" t="s">
        <v>1120</v>
      </c>
      <c r="L276" s="12" t="n">
        <v>5</v>
      </c>
      <c r="M276" s="15" t="n">
        <f aca="false">E276*G276</f>
        <v>21600</v>
      </c>
      <c r="N276" s="15" t="n">
        <f aca="false">E276*H276</f>
        <v>24800</v>
      </c>
      <c r="O276" s="18" t="n">
        <f aca="false">IF(H276=0,"",(H276-G276)/H276)</f>
        <v>0.129032258064516</v>
      </c>
      <c r="P276" s="12" t="n">
        <f aca="false">IF(J276="","",J276-README!$C$4)</f>
        <v>142</v>
      </c>
      <c r="Q276" s="12" t="str">
        <f aca="false">IF(E276=0,"Out of stock",IF(E276&lt;=F276,"Low stock","OK"))</f>
        <v>OK</v>
      </c>
      <c r="R276" s="12" t="str">
        <f aca="false">IF(J276="","No expiry",IF(P276&lt;0,"Expired",IF(P276&lt;=30,"Expiring &lt;=30 days","OK")))</f>
        <v>OK</v>
      </c>
      <c r="S276" s="12"/>
    </row>
    <row r="277" customFormat="false" ht="15" hidden="false" customHeight="false" outlineLevel="0" collapsed="false">
      <c r="A277" s="12" t="s">
        <v>3082</v>
      </c>
      <c r="B277" s="12" t="s">
        <v>1305</v>
      </c>
      <c r="C277" s="12" t="s">
        <v>2380</v>
      </c>
      <c r="D277" s="12" t="s">
        <v>2382</v>
      </c>
      <c r="E277" s="12" t="n">
        <v>24</v>
      </c>
      <c r="F277" s="12" t="n">
        <v>6</v>
      </c>
      <c r="G277" s="15" t="n">
        <v>4200</v>
      </c>
      <c r="H277" s="15" t="n">
        <v>5100</v>
      </c>
      <c r="I277" s="12" t="s">
        <v>3083</v>
      </c>
      <c r="J277" s="17" t="n">
        <v>46450</v>
      </c>
      <c r="K277" s="12" t="s">
        <v>1120</v>
      </c>
      <c r="L277" s="12" t="n">
        <v>16</v>
      </c>
      <c r="M277" s="15" t="n">
        <f aca="false">E277*G277</f>
        <v>100800</v>
      </c>
      <c r="N277" s="15" t="n">
        <f aca="false">E277*H277</f>
        <v>122400</v>
      </c>
      <c r="O277" s="18" t="n">
        <f aca="false">IF(H277=0,"",(H277-G277)/H277)</f>
        <v>0.176470588235294</v>
      </c>
      <c r="P277" s="12" t="n">
        <f aca="false">IF(J277="","",J277-README!$C$4)</f>
        <v>128</v>
      </c>
      <c r="Q277" s="12" t="str">
        <f aca="false">IF(E277=0,"Out of stock",IF(E277&lt;=F277,"Low stock","OK"))</f>
        <v>OK</v>
      </c>
      <c r="R277" s="12" t="str">
        <f aca="false">IF(J277="","No expiry",IF(P277&lt;0,"Expired",IF(P277&lt;=30,"Expiring &lt;=30 days","OK")))</f>
        <v>OK</v>
      </c>
      <c r="S277" s="12"/>
    </row>
    <row r="278" customFormat="false" ht="15" hidden="false" customHeight="false" outlineLevel="0" collapsed="false">
      <c r="A278" s="12" t="s">
        <v>3084</v>
      </c>
      <c r="B278" s="12" t="s">
        <v>1305</v>
      </c>
      <c r="C278" s="12" t="s">
        <v>2387</v>
      </c>
      <c r="D278" s="12" t="s">
        <v>2388</v>
      </c>
      <c r="E278" s="12" t="n">
        <v>37</v>
      </c>
      <c r="F278" s="12" t="n">
        <v>6</v>
      </c>
      <c r="G278" s="15" t="n">
        <v>22000</v>
      </c>
      <c r="H278" s="15" t="n">
        <v>25500</v>
      </c>
      <c r="I278" s="12" t="s">
        <v>3085</v>
      </c>
      <c r="J278" s="17" t="n">
        <v>46415</v>
      </c>
      <c r="K278" s="12" t="s">
        <v>1120</v>
      </c>
      <c r="L278" s="12" t="n">
        <v>25</v>
      </c>
      <c r="M278" s="15" t="n">
        <f aca="false">E278*G278</f>
        <v>814000</v>
      </c>
      <c r="N278" s="15" t="n">
        <f aca="false">E278*H278</f>
        <v>943500</v>
      </c>
      <c r="O278" s="18" t="n">
        <f aca="false">IF(H278=0,"",(H278-G278)/H278)</f>
        <v>0.137254901960784</v>
      </c>
      <c r="P278" s="12" t="n">
        <f aca="false">IF(J278="","",J278-README!$C$4)</f>
        <v>93</v>
      </c>
      <c r="Q278" s="12" t="str">
        <f aca="false">IF(E278=0,"Out of stock",IF(E278&lt;=F278,"Low stock","OK"))</f>
        <v>OK</v>
      </c>
      <c r="R278" s="12" t="str">
        <f aca="false">IF(J278="","No expiry",IF(P278&lt;0,"Expired",IF(P278&lt;=30,"Expiring &lt;=30 days","OK")))</f>
        <v>OK</v>
      </c>
      <c r="S278" s="12"/>
    </row>
    <row r="279" customFormat="false" ht="15" hidden="false" customHeight="false" outlineLevel="0" collapsed="false">
      <c r="A279" s="12" t="s">
        <v>3086</v>
      </c>
      <c r="B279" s="12" t="s">
        <v>1305</v>
      </c>
      <c r="C279" s="12" t="s">
        <v>2393</v>
      </c>
      <c r="D279" s="12" t="s">
        <v>2394</v>
      </c>
      <c r="E279" s="12" t="n">
        <v>31</v>
      </c>
      <c r="F279" s="12" t="n">
        <v>6</v>
      </c>
      <c r="G279" s="15" t="n">
        <v>21500</v>
      </c>
      <c r="H279" s="15" t="n">
        <v>25500</v>
      </c>
      <c r="I279" s="12" t="s">
        <v>3087</v>
      </c>
      <c r="J279" s="17" t="n">
        <v>46637</v>
      </c>
      <c r="K279" s="12" t="s">
        <v>1120</v>
      </c>
      <c r="L279" s="12" t="n">
        <v>21</v>
      </c>
      <c r="M279" s="15" t="n">
        <f aca="false">E279*G279</f>
        <v>666500</v>
      </c>
      <c r="N279" s="15" t="n">
        <f aca="false">E279*H279</f>
        <v>790500</v>
      </c>
      <c r="O279" s="18" t="n">
        <f aca="false">IF(H279=0,"",(H279-G279)/H279)</f>
        <v>0.156862745098039</v>
      </c>
      <c r="P279" s="12" t="n">
        <f aca="false">IF(J279="","",J279-README!$C$4)</f>
        <v>315</v>
      </c>
      <c r="Q279" s="12" t="str">
        <f aca="false">IF(E279=0,"Out of stock",IF(E279&lt;=F279,"Low stock","OK"))</f>
        <v>OK</v>
      </c>
      <c r="R279" s="12" t="str">
        <f aca="false">IF(J279="","No expiry",IF(P279&lt;0,"Expired",IF(P279&lt;=30,"Expiring &lt;=30 days","OK")))</f>
        <v>OK</v>
      </c>
      <c r="S279" s="12"/>
    </row>
    <row r="280" customFormat="false" ht="15" hidden="false" customHeight="false" outlineLevel="0" collapsed="false">
      <c r="A280" s="12" t="s">
        <v>3088</v>
      </c>
      <c r="B280" s="12" t="s">
        <v>1305</v>
      </c>
      <c r="C280" s="12" t="s">
        <v>2390</v>
      </c>
      <c r="D280" s="12" t="s">
        <v>2391</v>
      </c>
      <c r="E280" s="12" t="n">
        <v>9</v>
      </c>
      <c r="F280" s="12" t="n">
        <v>6</v>
      </c>
      <c r="G280" s="15" t="n">
        <v>4300</v>
      </c>
      <c r="H280" s="15" t="n">
        <v>5100</v>
      </c>
      <c r="I280" s="12" t="s">
        <v>3089</v>
      </c>
      <c r="J280" s="17" t="n">
        <v>46542</v>
      </c>
      <c r="K280" s="12" t="s">
        <v>1120</v>
      </c>
      <c r="L280" s="12" t="n">
        <v>6</v>
      </c>
      <c r="M280" s="15" t="n">
        <f aca="false">E280*G280</f>
        <v>38700</v>
      </c>
      <c r="N280" s="15" t="n">
        <f aca="false">E280*H280</f>
        <v>45900</v>
      </c>
      <c r="O280" s="18" t="n">
        <f aca="false">IF(H280=0,"",(H280-G280)/H280)</f>
        <v>0.156862745098039</v>
      </c>
      <c r="P280" s="12" t="n">
        <f aca="false">IF(J280="","",J280-README!$C$4)</f>
        <v>220</v>
      </c>
      <c r="Q280" s="12" t="str">
        <f aca="false">IF(E280=0,"Out of stock",IF(E280&lt;=F280,"Low stock","OK"))</f>
        <v>OK</v>
      </c>
      <c r="R280" s="12" t="str">
        <f aca="false">IF(J280="","No expiry",IF(P280&lt;0,"Expired",IF(P280&lt;=30,"Expiring &lt;=30 days","OK")))</f>
        <v>OK</v>
      </c>
      <c r="S280" s="12"/>
    </row>
    <row r="281" customFormat="false" ht="15" hidden="false" customHeight="false" outlineLevel="0" collapsed="false">
      <c r="A281" s="12" t="s">
        <v>3090</v>
      </c>
      <c r="B281" s="12" t="s">
        <v>1305</v>
      </c>
      <c r="C281" s="12" t="s">
        <v>2396</v>
      </c>
      <c r="D281" s="12" t="s">
        <v>2397</v>
      </c>
      <c r="E281" s="12" t="n">
        <v>26</v>
      </c>
      <c r="F281" s="12" t="n">
        <v>6</v>
      </c>
      <c r="G281" s="15" t="n">
        <v>38200</v>
      </c>
      <c r="H281" s="15" t="n">
        <v>46000</v>
      </c>
      <c r="I281" s="12" t="s">
        <v>3091</v>
      </c>
      <c r="J281" s="17" t="n">
        <v>46599</v>
      </c>
      <c r="K281" s="12" t="s">
        <v>1120</v>
      </c>
      <c r="L281" s="12" t="n">
        <v>18</v>
      </c>
      <c r="M281" s="15" t="n">
        <f aca="false">E281*G281</f>
        <v>993200</v>
      </c>
      <c r="N281" s="15" t="n">
        <f aca="false">E281*H281</f>
        <v>1196000</v>
      </c>
      <c r="O281" s="18" t="n">
        <f aca="false">IF(H281=0,"",(H281-G281)/H281)</f>
        <v>0.169565217391304</v>
      </c>
      <c r="P281" s="12" t="n">
        <f aca="false">IF(J281="","",J281-README!$C$4)</f>
        <v>277</v>
      </c>
      <c r="Q281" s="12" t="str">
        <f aca="false">IF(E281=0,"Out of stock",IF(E281&lt;=F281,"Low stock","OK"))</f>
        <v>OK</v>
      </c>
      <c r="R281" s="12" t="str">
        <f aca="false">IF(J281="","No expiry",IF(P281&lt;0,"Expired",IF(P281&lt;=30,"Expiring &lt;=30 days","OK")))</f>
        <v>OK</v>
      </c>
      <c r="S281" s="12"/>
    </row>
    <row r="282" customFormat="false" ht="15" hidden="false" customHeight="false" outlineLevel="0" collapsed="false">
      <c r="A282" s="12" t="s">
        <v>3092</v>
      </c>
      <c r="B282" s="12" t="s">
        <v>1305</v>
      </c>
      <c r="C282" s="12" t="s">
        <v>2399</v>
      </c>
      <c r="D282" s="12" t="s">
        <v>2400</v>
      </c>
      <c r="E282" s="12" t="n">
        <v>38</v>
      </c>
      <c r="F282" s="12" t="n">
        <v>6</v>
      </c>
      <c r="G282" s="15" t="n">
        <v>26600</v>
      </c>
      <c r="H282" s="15" t="n">
        <v>30500</v>
      </c>
      <c r="I282" s="12" t="s">
        <v>3093</v>
      </c>
      <c r="J282" s="17" t="n">
        <v>46448</v>
      </c>
      <c r="K282" s="12" t="s">
        <v>1120</v>
      </c>
      <c r="L282" s="12" t="n">
        <v>26</v>
      </c>
      <c r="M282" s="15" t="n">
        <f aca="false">E282*G282</f>
        <v>1010800</v>
      </c>
      <c r="N282" s="15" t="n">
        <f aca="false">E282*H282</f>
        <v>1159000</v>
      </c>
      <c r="O282" s="18" t="n">
        <f aca="false">IF(H282=0,"",(H282-G282)/H282)</f>
        <v>0.127868852459016</v>
      </c>
      <c r="P282" s="12" t="n">
        <f aca="false">IF(J282="","",J282-README!$C$4)</f>
        <v>126</v>
      </c>
      <c r="Q282" s="12" t="str">
        <f aca="false">IF(E282=0,"Out of stock",IF(E282&lt;=F282,"Low stock","OK"))</f>
        <v>OK</v>
      </c>
      <c r="R282" s="12" t="str">
        <f aca="false">IF(J282="","No expiry",IF(P282&lt;0,"Expired",IF(P282&lt;=30,"Expiring &lt;=30 days","OK")))</f>
        <v>OK</v>
      </c>
      <c r="S282" s="12"/>
    </row>
    <row r="283" customFormat="false" ht="15" hidden="false" customHeight="false" outlineLevel="0" collapsed="false">
      <c r="A283" s="12" t="s">
        <v>3094</v>
      </c>
      <c r="B283" s="12" t="s">
        <v>1305</v>
      </c>
      <c r="C283" s="12" t="s">
        <v>2402</v>
      </c>
      <c r="D283" s="12" t="s">
        <v>2404</v>
      </c>
      <c r="E283" s="12" t="n">
        <v>34</v>
      </c>
      <c r="F283" s="12" t="n">
        <v>6</v>
      </c>
      <c r="G283" s="15" t="n">
        <v>46200</v>
      </c>
      <c r="H283" s="15" t="n">
        <v>56000</v>
      </c>
      <c r="I283" s="12" t="s">
        <v>3095</v>
      </c>
      <c r="J283" s="17" t="n">
        <v>46478</v>
      </c>
      <c r="K283" s="12" t="s">
        <v>1120</v>
      </c>
      <c r="L283" s="12" t="n">
        <v>23</v>
      </c>
      <c r="M283" s="15" t="n">
        <f aca="false">E283*G283</f>
        <v>1570800</v>
      </c>
      <c r="N283" s="15" t="n">
        <f aca="false">E283*H283</f>
        <v>1904000</v>
      </c>
      <c r="O283" s="18" t="n">
        <f aca="false">IF(H283=0,"",(H283-G283)/H283)</f>
        <v>0.175</v>
      </c>
      <c r="P283" s="12" t="n">
        <f aca="false">IF(J283="","",J283-README!$C$4)</f>
        <v>156</v>
      </c>
      <c r="Q283" s="12" t="str">
        <f aca="false">IF(E283=0,"Out of stock",IF(E283&lt;=F283,"Low stock","OK"))</f>
        <v>OK</v>
      </c>
      <c r="R283" s="12" t="str">
        <f aca="false">IF(J283="","No expiry",IF(P283&lt;0,"Expired",IF(P283&lt;=30,"Expiring &lt;=30 days","OK")))</f>
        <v>OK</v>
      </c>
      <c r="S283" s="12"/>
    </row>
    <row r="284" customFormat="false" ht="15" hidden="false" customHeight="false" outlineLevel="0" collapsed="false">
      <c r="A284" s="12" t="s">
        <v>3096</v>
      </c>
      <c r="B284" s="12" t="s">
        <v>1305</v>
      </c>
      <c r="C284" s="12" t="s">
        <v>2406</v>
      </c>
      <c r="D284" s="12" t="s">
        <v>2407</v>
      </c>
      <c r="E284" s="12" t="n">
        <v>40</v>
      </c>
      <c r="F284" s="12" t="n">
        <v>6</v>
      </c>
      <c r="G284" s="15" t="n">
        <v>33100</v>
      </c>
      <c r="H284" s="15" t="n">
        <v>41000</v>
      </c>
      <c r="I284" s="12" t="s">
        <v>3097</v>
      </c>
      <c r="J284" s="17" t="n">
        <v>46507</v>
      </c>
      <c r="K284" s="12" t="s">
        <v>1120</v>
      </c>
      <c r="L284" s="12" t="n">
        <v>28</v>
      </c>
      <c r="M284" s="15" t="n">
        <f aca="false">E284*G284</f>
        <v>1324000</v>
      </c>
      <c r="N284" s="15" t="n">
        <f aca="false">E284*H284</f>
        <v>1640000</v>
      </c>
      <c r="O284" s="18" t="n">
        <f aca="false">IF(H284=0,"",(H284-G284)/H284)</f>
        <v>0.192682926829268</v>
      </c>
      <c r="P284" s="12" t="n">
        <f aca="false">IF(J284="","",J284-README!$C$4)</f>
        <v>185</v>
      </c>
      <c r="Q284" s="12" t="str">
        <f aca="false">IF(E284=0,"Out of stock",IF(E284&lt;=F284,"Low stock","OK"))</f>
        <v>OK</v>
      </c>
      <c r="R284" s="12" t="str">
        <f aca="false">IF(J284="","No expiry",IF(P284&lt;0,"Expired",IF(P284&lt;=30,"Expiring &lt;=30 days","OK")))</f>
        <v>OK</v>
      </c>
      <c r="S284" s="12"/>
    </row>
    <row r="285" customFormat="false" ht="15" hidden="false" customHeight="false" outlineLevel="0" collapsed="false">
      <c r="A285" s="12" t="s">
        <v>3098</v>
      </c>
      <c r="B285" s="12" t="s">
        <v>1305</v>
      </c>
      <c r="C285" s="12" t="s">
        <v>2412</v>
      </c>
      <c r="D285" s="12" t="s">
        <v>2413</v>
      </c>
      <c r="E285" s="12" t="n">
        <v>27</v>
      </c>
      <c r="F285" s="12" t="n">
        <v>8</v>
      </c>
      <c r="G285" s="15" t="n">
        <v>16200</v>
      </c>
      <c r="H285" s="15" t="n">
        <v>18500</v>
      </c>
      <c r="I285" s="12" t="s">
        <v>3099</v>
      </c>
      <c r="J285" s="17" t="n">
        <v>46993</v>
      </c>
      <c r="K285" s="12" t="s">
        <v>1120</v>
      </c>
      <c r="L285" s="12" t="n">
        <v>18</v>
      </c>
      <c r="M285" s="15" t="n">
        <f aca="false">E285*G285</f>
        <v>437400</v>
      </c>
      <c r="N285" s="15" t="n">
        <f aca="false">E285*H285</f>
        <v>499500</v>
      </c>
      <c r="O285" s="18" t="n">
        <f aca="false">IF(H285=0,"",(H285-G285)/H285)</f>
        <v>0.124324324324324</v>
      </c>
      <c r="P285" s="12" t="n">
        <f aca="false">IF(J285="","",J285-README!$C$4)</f>
        <v>671</v>
      </c>
      <c r="Q285" s="12" t="str">
        <f aca="false">IF(E285=0,"Out of stock",IF(E285&lt;=F285,"Low stock","OK"))</f>
        <v>OK</v>
      </c>
      <c r="R285" s="12" t="str">
        <f aca="false">IF(J285="","No expiry",IF(P285&lt;0,"Expired",IF(P285&lt;=30,"Expiring &lt;=30 days","OK")))</f>
        <v>OK</v>
      </c>
      <c r="S285" s="12"/>
    </row>
    <row r="286" customFormat="false" ht="15" hidden="false" customHeight="false" outlineLevel="0" collapsed="false">
      <c r="A286" s="12" t="s">
        <v>3100</v>
      </c>
      <c r="B286" s="12" t="s">
        <v>1305</v>
      </c>
      <c r="C286" s="12" t="s">
        <v>2419</v>
      </c>
      <c r="D286" s="12" t="s">
        <v>2420</v>
      </c>
      <c r="E286" s="12" t="n">
        <v>48</v>
      </c>
      <c r="F286" s="12" t="n">
        <v>8</v>
      </c>
      <c r="G286" s="15" t="n">
        <v>22800</v>
      </c>
      <c r="H286" s="15" t="n">
        <v>25500</v>
      </c>
      <c r="I286" s="12" t="s">
        <v>3101</v>
      </c>
      <c r="J286" s="17" t="n">
        <v>46845</v>
      </c>
      <c r="K286" s="12" t="s">
        <v>1120</v>
      </c>
      <c r="L286" s="12" t="n">
        <v>33</v>
      </c>
      <c r="M286" s="15" t="n">
        <f aca="false">E286*G286</f>
        <v>1094400</v>
      </c>
      <c r="N286" s="15" t="n">
        <f aca="false">E286*H286</f>
        <v>1224000</v>
      </c>
      <c r="O286" s="18" t="n">
        <f aca="false">IF(H286=0,"",(H286-G286)/H286)</f>
        <v>0.105882352941176</v>
      </c>
      <c r="P286" s="12" t="n">
        <f aca="false">IF(J286="","",J286-README!$C$4)</f>
        <v>523</v>
      </c>
      <c r="Q286" s="12" t="str">
        <f aca="false">IF(E286=0,"Out of stock",IF(E286&lt;=F286,"Low stock","OK"))</f>
        <v>OK</v>
      </c>
      <c r="R286" s="12" t="str">
        <f aca="false">IF(J286="","No expiry",IF(P286&lt;0,"Expired",IF(P286&lt;=30,"Expiring &lt;=30 days","OK")))</f>
        <v>OK</v>
      </c>
      <c r="S286" s="12"/>
    </row>
    <row r="287" customFormat="false" ht="15" hidden="false" customHeight="false" outlineLevel="0" collapsed="false">
      <c r="A287" s="12" t="s">
        <v>3102</v>
      </c>
      <c r="B287" s="12" t="s">
        <v>1305</v>
      </c>
      <c r="C287" s="12" t="s">
        <v>2422</v>
      </c>
      <c r="D287" s="12" t="s">
        <v>2424</v>
      </c>
      <c r="E287" s="12" t="n">
        <v>14</v>
      </c>
      <c r="F287" s="12" t="n">
        <v>2</v>
      </c>
      <c r="G287" s="15" t="n">
        <v>13200</v>
      </c>
      <c r="H287" s="15" t="n">
        <v>15500</v>
      </c>
      <c r="I287" s="12" t="s">
        <v>3103</v>
      </c>
      <c r="J287" s="17" t="n">
        <v>47166</v>
      </c>
      <c r="K287" s="12" t="s">
        <v>1120</v>
      </c>
      <c r="L287" s="12" t="n">
        <v>9</v>
      </c>
      <c r="M287" s="15" t="n">
        <f aca="false">E287*G287</f>
        <v>184800</v>
      </c>
      <c r="N287" s="15" t="n">
        <f aca="false">E287*H287</f>
        <v>217000</v>
      </c>
      <c r="O287" s="18" t="n">
        <f aca="false">IF(H287=0,"",(H287-G287)/H287)</f>
        <v>0.148387096774194</v>
      </c>
      <c r="P287" s="12" t="n">
        <f aca="false">IF(J287="","",J287-README!$C$4)</f>
        <v>844</v>
      </c>
      <c r="Q287" s="12" t="str">
        <f aca="false">IF(E287=0,"Out of stock",IF(E287&lt;=F287,"Low stock","OK"))</f>
        <v>OK</v>
      </c>
      <c r="R287" s="12" t="str">
        <f aca="false">IF(J287="","No expiry",IF(P287&lt;0,"Expired",IF(P287&lt;=30,"Expiring &lt;=30 days","OK")))</f>
        <v>OK</v>
      </c>
      <c r="S287" s="12"/>
    </row>
    <row r="288" customFormat="false" ht="15" hidden="false" customHeight="false" outlineLevel="0" collapsed="false">
      <c r="A288" s="12" t="s">
        <v>3104</v>
      </c>
      <c r="B288" s="12" t="s">
        <v>1305</v>
      </c>
      <c r="C288" s="12" t="s">
        <v>2426</v>
      </c>
      <c r="D288" s="12" t="s">
        <v>2427</v>
      </c>
      <c r="E288" s="12" t="n">
        <v>59</v>
      </c>
      <c r="F288" s="12" t="n">
        <v>8</v>
      </c>
      <c r="G288" s="15" t="n">
        <v>7100</v>
      </c>
      <c r="H288" s="15" t="n">
        <v>8200</v>
      </c>
      <c r="I288" s="12" t="s">
        <v>3105</v>
      </c>
      <c r="J288" s="17" t="n">
        <v>47177</v>
      </c>
      <c r="K288" s="12" t="s">
        <v>1120</v>
      </c>
      <c r="L288" s="12" t="n">
        <v>41</v>
      </c>
      <c r="M288" s="15" t="n">
        <f aca="false">E288*G288</f>
        <v>418900</v>
      </c>
      <c r="N288" s="15" t="n">
        <f aca="false">E288*H288</f>
        <v>483800</v>
      </c>
      <c r="O288" s="18" t="n">
        <f aca="false">IF(H288=0,"",(H288-G288)/H288)</f>
        <v>0.134146341463415</v>
      </c>
      <c r="P288" s="12" t="n">
        <f aca="false">IF(J288="","",J288-README!$C$4)</f>
        <v>855</v>
      </c>
      <c r="Q288" s="12" t="str">
        <f aca="false">IF(E288=0,"Out of stock",IF(E288&lt;=F288,"Low stock","OK"))</f>
        <v>OK</v>
      </c>
      <c r="R288" s="12" t="str">
        <f aca="false">IF(J288="","No expiry",IF(P288&lt;0,"Expired",IF(P288&lt;=30,"Expiring &lt;=30 days","OK")))</f>
        <v>OK</v>
      </c>
      <c r="S288" s="12"/>
    </row>
    <row r="289" customFormat="false" ht="15" hidden="false" customHeight="false" outlineLevel="0" collapsed="false">
      <c r="A289" s="12" t="s">
        <v>3106</v>
      </c>
      <c r="B289" s="12" t="s">
        <v>1305</v>
      </c>
      <c r="C289" s="12" t="s">
        <v>2429</v>
      </c>
      <c r="D289" s="12" t="s">
        <v>2431</v>
      </c>
      <c r="E289" s="12" t="n">
        <v>23</v>
      </c>
      <c r="F289" s="12" t="n">
        <v>4</v>
      </c>
      <c r="G289" s="15" t="n">
        <v>4200</v>
      </c>
      <c r="H289" s="15" t="n">
        <v>5100</v>
      </c>
      <c r="I289" s="12"/>
      <c r="J289" s="17"/>
      <c r="K289" s="12" t="s">
        <v>1120</v>
      </c>
      <c r="L289" s="12" t="n">
        <v>16</v>
      </c>
      <c r="M289" s="15" t="n">
        <f aca="false">E289*G289</f>
        <v>96600</v>
      </c>
      <c r="N289" s="15" t="n">
        <f aca="false">E289*H289</f>
        <v>117300</v>
      </c>
      <c r="O289" s="18" t="n">
        <f aca="false">IF(H289=0,"",(H289-G289)/H289)</f>
        <v>0.176470588235294</v>
      </c>
      <c r="P289" s="12" t="str">
        <f aca="false">IF(J289="","",J289-README!$C$4)</f>
        <v/>
      </c>
      <c r="Q289" s="12" t="str">
        <f aca="false">IF(E289=0,"Out of stock",IF(E289&lt;=F289,"Low stock","OK"))</f>
        <v>OK</v>
      </c>
      <c r="R289" s="12" t="str">
        <f aca="false">IF(J289="","No expiry",IF(P289&lt;0,"Expired",IF(P289&lt;=30,"Expiring &lt;=30 days","OK")))</f>
        <v>No expiry</v>
      </c>
      <c r="S289" s="12"/>
    </row>
    <row r="290" customFormat="false" ht="15" hidden="false" customHeight="false" outlineLevel="0" collapsed="false">
      <c r="A290" s="12" t="s">
        <v>3107</v>
      </c>
      <c r="B290" s="12" t="s">
        <v>1305</v>
      </c>
      <c r="C290" s="12" t="s">
        <v>2433</v>
      </c>
      <c r="D290" s="12" t="s">
        <v>2435</v>
      </c>
      <c r="E290" s="12" t="n">
        <v>5</v>
      </c>
      <c r="F290" s="12" t="n">
        <v>4</v>
      </c>
      <c r="G290" s="15" t="n">
        <v>7800</v>
      </c>
      <c r="H290" s="15" t="n">
        <v>9200</v>
      </c>
      <c r="I290" s="12"/>
      <c r="J290" s="17"/>
      <c r="K290" s="12" t="s">
        <v>1120</v>
      </c>
      <c r="L290" s="12" t="n">
        <v>3</v>
      </c>
      <c r="M290" s="15" t="n">
        <f aca="false">E290*G290</f>
        <v>39000</v>
      </c>
      <c r="N290" s="15" t="n">
        <f aca="false">E290*H290</f>
        <v>46000</v>
      </c>
      <c r="O290" s="18" t="n">
        <f aca="false">IF(H290=0,"",(H290-G290)/H290)</f>
        <v>0.152173913043478</v>
      </c>
      <c r="P290" s="12" t="str">
        <f aca="false">IF(J290="","",J290-README!$C$4)</f>
        <v/>
      </c>
      <c r="Q290" s="12" t="str">
        <f aca="false">IF(E290=0,"Out of stock",IF(E290&lt;=F290,"Low stock","OK"))</f>
        <v>OK</v>
      </c>
      <c r="R290" s="12" t="str">
        <f aca="false">IF(J290="","No expiry",IF(P290&lt;0,"Expired",IF(P290&lt;=30,"Expiring &lt;=30 days","OK")))</f>
        <v>No expiry</v>
      </c>
      <c r="S290" s="12"/>
    </row>
    <row r="291" customFormat="false" ht="15" hidden="false" customHeight="false" outlineLevel="0" collapsed="false">
      <c r="A291" s="12" t="s">
        <v>3108</v>
      </c>
      <c r="B291" s="12" t="s">
        <v>1305</v>
      </c>
      <c r="C291" s="12" t="s">
        <v>2437</v>
      </c>
      <c r="D291" s="12" t="s">
        <v>2439</v>
      </c>
      <c r="E291" s="12" t="n">
        <v>17</v>
      </c>
      <c r="F291" s="12" t="n">
        <v>4</v>
      </c>
      <c r="G291" s="15" t="n">
        <v>9900</v>
      </c>
      <c r="H291" s="15" t="n">
        <v>12000</v>
      </c>
      <c r="I291" s="12"/>
      <c r="J291" s="17"/>
      <c r="K291" s="12" t="s">
        <v>1120</v>
      </c>
      <c r="L291" s="12" t="n">
        <v>11</v>
      </c>
      <c r="M291" s="15" t="n">
        <f aca="false">E291*G291</f>
        <v>168300</v>
      </c>
      <c r="N291" s="15" t="n">
        <f aca="false">E291*H291</f>
        <v>204000</v>
      </c>
      <c r="O291" s="18" t="n">
        <f aca="false">IF(H291=0,"",(H291-G291)/H291)</f>
        <v>0.175</v>
      </c>
      <c r="P291" s="12" t="str">
        <f aca="false">IF(J291="","",J291-README!$C$4)</f>
        <v/>
      </c>
      <c r="Q291" s="12" t="str">
        <f aca="false">IF(E291=0,"Out of stock",IF(E291&lt;=F291,"Low stock","OK"))</f>
        <v>OK</v>
      </c>
      <c r="R291" s="12" t="str">
        <f aca="false">IF(J291="","No expiry",IF(P291&lt;0,"Expired",IF(P291&lt;=30,"Expiring &lt;=30 days","OK")))</f>
        <v>No expiry</v>
      </c>
      <c r="S291" s="12"/>
    </row>
    <row r="292" customFormat="false" ht="15" hidden="false" customHeight="false" outlineLevel="0" collapsed="false">
      <c r="A292" s="12" t="s">
        <v>3109</v>
      </c>
      <c r="B292" s="12" t="s">
        <v>1305</v>
      </c>
      <c r="C292" s="12" t="s">
        <v>2441</v>
      </c>
      <c r="D292" s="12" t="s">
        <v>1882</v>
      </c>
      <c r="E292" s="12" t="n">
        <v>8</v>
      </c>
      <c r="F292" s="12" t="n">
        <v>4</v>
      </c>
      <c r="G292" s="15" t="n">
        <v>2600</v>
      </c>
      <c r="H292" s="15" t="n">
        <v>3100</v>
      </c>
      <c r="I292" s="12"/>
      <c r="J292" s="17"/>
      <c r="K292" s="12" t="s">
        <v>1120</v>
      </c>
      <c r="L292" s="12" t="n">
        <v>5</v>
      </c>
      <c r="M292" s="15" t="n">
        <f aca="false">E292*G292</f>
        <v>20800</v>
      </c>
      <c r="N292" s="15" t="n">
        <f aca="false">E292*H292</f>
        <v>24800</v>
      </c>
      <c r="O292" s="18" t="n">
        <f aca="false">IF(H292=0,"",(H292-G292)/H292)</f>
        <v>0.161290322580645</v>
      </c>
      <c r="P292" s="12" t="str">
        <f aca="false">IF(J292="","",J292-README!$C$4)</f>
        <v/>
      </c>
      <c r="Q292" s="12" t="str">
        <f aca="false">IF(E292=0,"Out of stock",IF(E292&lt;=F292,"Low stock","OK"))</f>
        <v>OK</v>
      </c>
      <c r="R292" s="12" t="str">
        <f aca="false">IF(J292="","No expiry",IF(P292&lt;0,"Expired",IF(P292&lt;=30,"Expiring &lt;=30 days","OK")))</f>
        <v>No expiry</v>
      </c>
      <c r="S292" s="12"/>
    </row>
    <row r="293" customFormat="false" ht="15" hidden="false" customHeight="false" outlineLevel="0" collapsed="false">
      <c r="A293" s="12" t="s">
        <v>3110</v>
      </c>
      <c r="B293" s="12" t="s">
        <v>1305</v>
      </c>
      <c r="C293" s="12" t="s">
        <v>2444</v>
      </c>
      <c r="D293" s="12" t="s">
        <v>1887</v>
      </c>
      <c r="E293" s="12" t="n">
        <v>3</v>
      </c>
      <c r="F293" s="12" t="n">
        <v>1</v>
      </c>
      <c r="G293" s="15" t="n">
        <v>28600</v>
      </c>
      <c r="H293" s="15" t="n">
        <v>35500</v>
      </c>
      <c r="I293" s="12"/>
      <c r="J293" s="17"/>
      <c r="K293" s="12" t="s">
        <v>1120</v>
      </c>
      <c r="L293" s="12" t="n">
        <v>2</v>
      </c>
      <c r="M293" s="15" t="n">
        <f aca="false">E293*G293</f>
        <v>85800</v>
      </c>
      <c r="N293" s="15" t="n">
        <f aca="false">E293*H293</f>
        <v>106500</v>
      </c>
      <c r="O293" s="18" t="n">
        <f aca="false">IF(H293=0,"",(H293-G293)/H293)</f>
        <v>0.194366197183099</v>
      </c>
      <c r="P293" s="12" t="str">
        <f aca="false">IF(J293="","",J293-README!$C$4)</f>
        <v/>
      </c>
      <c r="Q293" s="12" t="str">
        <f aca="false">IF(E293=0,"Out of stock",IF(E293&lt;=F293,"Low stock","OK"))</f>
        <v>OK</v>
      </c>
      <c r="R293" s="12" t="str">
        <f aca="false">IF(J293="","No expiry",IF(P293&lt;0,"Expired",IF(P293&lt;=30,"Expiring &lt;=30 days","OK")))</f>
        <v>No expiry</v>
      </c>
      <c r="S293" s="12"/>
    </row>
    <row r="294" customFormat="false" ht="15" hidden="false" customHeight="false" outlineLevel="0" collapsed="false">
      <c r="A294" s="12" t="s">
        <v>3111</v>
      </c>
      <c r="B294" s="12" t="s">
        <v>1305</v>
      </c>
      <c r="C294" s="12" t="s">
        <v>2449</v>
      </c>
      <c r="D294" s="12" t="s">
        <v>1897</v>
      </c>
      <c r="E294" s="12" t="n">
        <v>6</v>
      </c>
      <c r="F294" s="12" t="n">
        <v>4</v>
      </c>
      <c r="G294" s="15" t="n">
        <v>14800</v>
      </c>
      <c r="H294" s="15" t="n">
        <v>18500</v>
      </c>
      <c r="I294" s="12"/>
      <c r="J294" s="17"/>
      <c r="K294" s="12" t="s">
        <v>1120</v>
      </c>
      <c r="L294" s="12" t="n">
        <v>4</v>
      </c>
      <c r="M294" s="15" t="n">
        <f aca="false">E294*G294</f>
        <v>88800</v>
      </c>
      <c r="N294" s="15" t="n">
        <f aca="false">E294*H294</f>
        <v>111000</v>
      </c>
      <c r="O294" s="18" t="n">
        <f aca="false">IF(H294=0,"",(H294-G294)/H294)</f>
        <v>0.2</v>
      </c>
      <c r="P294" s="12" t="str">
        <f aca="false">IF(J294="","",J294-README!$C$4)</f>
        <v/>
      </c>
      <c r="Q294" s="12" t="str">
        <f aca="false">IF(E294=0,"Out of stock",IF(E294&lt;=F294,"Low stock","OK"))</f>
        <v>OK</v>
      </c>
      <c r="R294" s="12" t="str">
        <f aca="false">IF(J294="","No expiry",IF(P294&lt;0,"Expired",IF(P294&lt;=30,"Expiring &lt;=30 days","OK")))</f>
        <v>No expiry</v>
      </c>
      <c r="S294" s="12"/>
    </row>
    <row r="295" customFormat="false" ht="15" hidden="false" customHeight="false" outlineLevel="0" collapsed="false">
      <c r="A295" s="12" t="s">
        <v>3112</v>
      </c>
      <c r="B295" s="12" t="s">
        <v>1305</v>
      </c>
      <c r="C295" s="12" t="s">
        <v>2451</v>
      </c>
      <c r="D295" s="12" t="s">
        <v>1903</v>
      </c>
      <c r="E295" s="12" t="n">
        <v>17</v>
      </c>
      <c r="F295" s="12" t="n">
        <v>4</v>
      </c>
      <c r="G295" s="15" t="n">
        <v>30000</v>
      </c>
      <c r="H295" s="15" t="n">
        <v>35500</v>
      </c>
      <c r="I295" s="12"/>
      <c r="J295" s="17"/>
      <c r="K295" s="12" t="s">
        <v>1111</v>
      </c>
      <c r="L295" s="12" t="n">
        <v>0</v>
      </c>
      <c r="M295" s="15" t="n">
        <f aca="false">E295*G295</f>
        <v>510000</v>
      </c>
      <c r="N295" s="15" t="n">
        <f aca="false">E295*H295</f>
        <v>603500</v>
      </c>
      <c r="O295" s="18" t="n">
        <f aca="false">IF(H295=0,"",(H295-G295)/H295)</f>
        <v>0.154929577464789</v>
      </c>
      <c r="P295" s="12" t="str">
        <f aca="false">IF(J295="","",J295-README!$C$4)</f>
        <v/>
      </c>
      <c r="Q295" s="12" t="str">
        <f aca="false">IF(E295=0,"Out of stock",IF(E295&lt;=F295,"Low stock","OK"))</f>
        <v>OK</v>
      </c>
      <c r="R295" s="12" t="str">
        <f aca="false">IF(J295="","No expiry",IF(P295&lt;0,"Expired",IF(P295&lt;=30,"Expiring &lt;=30 days","OK")))</f>
        <v>No expiry</v>
      </c>
      <c r="S295" s="12"/>
    </row>
    <row r="296" customFormat="false" ht="15" hidden="false" customHeight="false" outlineLevel="0" collapsed="false">
      <c r="A296" s="12" t="s">
        <v>3113</v>
      </c>
      <c r="B296" s="12" t="s">
        <v>1305</v>
      </c>
      <c r="C296" s="12" t="s">
        <v>2453</v>
      </c>
      <c r="D296" s="12" t="s">
        <v>1908</v>
      </c>
      <c r="E296" s="12" t="n">
        <v>4</v>
      </c>
      <c r="F296" s="12" t="n">
        <v>1</v>
      </c>
      <c r="G296" s="15" t="n">
        <v>542500</v>
      </c>
      <c r="H296" s="15" t="n">
        <v>663000</v>
      </c>
      <c r="I296" s="12"/>
      <c r="J296" s="17"/>
      <c r="K296" s="12" t="s">
        <v>1120</v>
      </c>
      <c r="L296" s="12" t="n">
        <v>2</v>
      </c>
      <c r="M296" s="15" t="n">
        <f aca="false">E296*G296</f>
        <v>2170000</v>
      </c>
      <c r="N296" s="15" t="n">
        <f aca="false">E296*H296</f>
        <v>2652000</v>
      </c>
      <c r="O296" s="18" t="n">
        <f aca="false">IF(H296=0,"",(H296-G296)/H296)</f>
        <v>0.181749622926094</v>
      </c>
      <c r="P296" s="12" t="str">
        <f aca="false">IF(J296="","",J296-README!$C$4)</f>
        <v/>
      </c>
      <c r="Q296" s="12" t="str">
        <f aca="false">IF(E296=0,"Out of stock",IF(E296&lt;=F296,"Low stock","OK"))</f>
        <v>OK</v>
      </c>
      <c r="R296" s="12" t="str">
        <f aca="false">IF(J296="","No expiry",IF(P296&lt;0,"Expired",IF(P296&lt;=30,"Expiring &lt;=30 days","OK")))</f>
        <v>No expiry</v>
      </c>
      <c r="S296" s="12"/>
    </row>
    <row r="297" customFormat="false" ht="15" hidden="false" customHeight="false" outlineLevel="0" collapsed="false">
      <c r="A297" s="12" t="s">
        <v>3114</v>
      </c>
      <c r="B297" s="12" t="s">
        <v>1305</v>
      </c>
      <c r="C297" s="12" t="s">
        <v>2455</v>
      </c>
      <c r="D297" s="12" t="s">
        <v>1914</v>
      </c>
      <c r="E297" s="12" t="n">
        <v>7</v>
      </c>
      <c r="F297" s="12" t="n">
        <v>4</v>
      </c>
      <c r="G297" s="15" t="n">
        <v>161800</v>
      </c>
      <c r="H297" s="15" t="n">
        <v>183500</v>
      </c>
      <c r="I297" s="12"/>
      <c r="J297" s="17"/>
      <c r="K297" s="12" t="s">
        <v>1120</v>
      </c>
      <c r="L297" s="12" t="n">
        <v>4</v>
      </c>
      <c r="M297" s="15" t="n">
        <f aca="false">E297*G297</f>
        <v>1132600</v>
      </c>
      <c r="N297" s="15" t="n">
        <f aca="false">E297*H297</f>
        <v>1284500</v>
      </c>
      <c r="O297" s="18" t="n">
        <f aca="false">IF(H297=0,"",(H297-G297)/H297)</f>
        <v>0.118256130790191</v>
      </c>
      <c r="P297" s="12" t="str">
        <f aca="false">IF(J297="","",J297-README!$C$4)</f>
        <v/>
      </c>
      <c r="Q297" s="12" t="str">
        <f aca="false">IF(E297=0,"Out of stock",IF(E297&lt;=F297,"Low stock","OK"))</f>
        <v>OK</v>
      </c>
      <c r="R297" s="12" t="str">
        <f aca="false">IF(J297="","No expiry",IF(P297&lt;0,"Expired",IF(P297&lt;=30,"Expiring &lt;=30 days","OK")))</f>
        <v>No expiry</v>
      </c>
      <c r="S297" s="12"/>
    </row>
    <row r="298" customFormat="false" ht="15" hidden="false" customHeight="false" outlineLevel="0" collapsed="false">
      <c r="A298" s="12" t="s">
        <v>3115</v>
      </c>
      <c r="B298" s="12" t="s">
        <v>1305</v>
      </c>
      <c r="C298" s="12" t="s">
        <v>2457</v>
      </c>
      <c r="D298" s="12" t="s">
        <v>1919</v>
      </c>
      <c r="E298" s="12" t="n">
        <v>3</v>
      </c>
      <c r="F298" s="12" t="n">
        <v>1</v>
      </c>
      <c r="G298" s="15" t="n">
        <v>314800</v>
      </c>
      <c r="H298" s="15" t="n">
        <v>387500</v>
      </c>
      <c r="I298" s="12"/>
      <c r="J298" s="17"/>
      <c r="K298" s="12" t="s">
        <v>1120</v>
      </c>
      <c r="L298" s="12" t="n">
        <v>2</v>
      </c>
      <c r="M298" s="15" t="n">
        <f aca="false">E298*G298</f>
        <v>944400</v>
      </c>
      <c r="N298" s="15" t="n">
        <f aca="false">E298*H298</f>
        <v>1162500</v>
      </c>
      <c r="O298" s="18" t="n">
        <f aca="false">IF(H298=0,"",(H298-G298)/H298)</f>
        <v>0.187612903225806</v>
      </c>
      <c r="P298" s="12" t="str">
        <f aca="false">IF(J298="","",J298-README!$C$4)</f>
        <v/>
      </c>
      <c r="Q298" s="12" t="str">
        <f aca="false">IF(E298=0,"Out of stock",IF(E298&lt;=F298,"Low stock","OK"))</f>
        <v>OK</v>
      </c>
      <c r="R298" s="12" t="str">
        <f aca="false">IF(J298="","No expiry",IF(P298&lt;0,"Expired",IF(P298&lt;=30,"Expiring &lt;=30 days","OK")))</f>
        <v>No expiry</v>
      </c>
      <c r="S298" s="12"/>
    </row>
    <row r="299" customFormat="false" ht="15" hidden="false" customHeight="false" outlineLevel="0" collapsed="false">
      <c r="A299" s="12" t="s">
        <v>3116</v>
      </c>
      <c r="B299" s="12" t="s">
        <v>1305</v>
      </c>
      <c r="C299" s="12" t="s">
        <v>2459</v>
      </c>
      <c r="D299" s="12" t="s">
        <v>1925</v>
      </c>
      <c r="E299" s="12" t="n">
        <v>4</v>
      </c>
      <c r="F299" s="12" t="n">
        <v>1</v>
      </c>
      <c r="G299" s="15" t="n">
        <v>1677100</v>
      </c>
      <c r="H299" s="15" t="n">
        <v>1989000</v>
      </c>
      <c r="I299" s="12"/>
      <c r="J299" s="17"/>
      <c r="K299" s="12" t="s">
        <v>1120</v>
      </c>
      <c r="L299" s="12" t="n">
        <v>2</v>
      </c>
      <c r="M299" s="15" t="n">
        <f aca="false">E299*G299</f>
        <v>6708400</v>
      </c>
      <c r="N299" s="15" t="n">
        <f aca="false">E299*H299</f>
        <v>7956000</v>
      </c>
      <c r="O299" s="18" t="n">
        <f aca="false">IF(H299=0,"",(H299-G299)/H299)</f>
        <v>0.156812468577174</v>
      </c>
      <c r="P299" s="12" t="str">
        <f aca="false">IF(J299="","",J299-README!$C$4)</f>
        <v/>
      </c>
      <c r="Q299" s="12" t="str">
        <f aca="false">IF(E299=0,"Out of stock",IF(E299&lt;=F299,"Low stock","OK"))</f>
        <v>OK</v>
      </c>
      <c r="R299" s="12" t="str">
        <f aca="false">IF(J299="","No expiry",IF(P299&lt;0,"Expired",IF(P299&lt;=30,"Expiring &lt;=30 days","OK")))</f>
        <v>No expiry</v>
      </c>
      <c r="S299" s="12"/>
    </row>
    <row r="300" customFormat="false" ht="15" hidden="false" customHeight="false" outlineLevel="0" collapsed="false">
      <c r="A300" s="12" t="s">
        <v>3117</v>
      </c>
      <c r="B300" s="12" t="s">
        <v>1305</v>
      </c>
      <c r="C300" s="12" t="s">
        <v>2461</v>
      </c>
      <c r="D300" s="12" t="s">
        <v>2463</v>
      </c>
      <c r="E300" s="12" t="n">
        <v>23</v>
      </c>
      <c r="F300" s="12" t="n">
        <v>8</v>
      </c>
      <c r="G300" s="15" t="n">
        <v>29400</v>
      </c>
      <c r="H300" s="15" t="n">
        <v>35500</v>
      </c>
      <c r="I300" s="12"/>
      <c r="J300" s="17"/>
      <c r="K300" s="12" t="s">
        <v>1120</v>
      </c>
      <c r="L300" s="12" t="n">
        <v>16</v>
      </c>
      <c r="M300" s="15" t="n">
        <f aca="false">E300*G300</f>
        <v>676200</v>
      </c>
      <c r="N300" s="15" t="n">
        <f aca="false">E300*H300</f>
        <v>816500</v>
      </c>
      <c r="O300" s="18" t="n">
        <f aca="false">IF(H300=0,"",(H300-G300)/H300)</f>
        <v>0.171830985915493</v>
      </c>
      <c r="P300" s="12" t="str">
        <f aca="false">IF(J300="","",J300-README!$C$4)</f>
        <v/>
      </c>
      <c r="Q300" s="12" t="str">
        <f aca="false">IF(E300=0,"Out of stock",IF(E300&lt;=F300,"Low stock","OK"))</f>
        <v>OK</v>
      </c>
      <c r="R300" s="12" t="str">
        <f aca="false">IF(J300="","No expiry",IF(P300&lt;0,"Expired",IF(P300&lt;=30,"Expiring &lt;=30 days","OK")))</f>
        <v>No expiry</v>
      </c>
      <c r="S300" s="12"/>
    </row>
    <row r="301" customFormat="false" ht="15" hidden="false" customHeight="false" outlineLevel="0" collapsed="false">
      <c r="A301" s="12" t="s">
        <v>3118</v>
      </c>
      <c r="B301" s="12" t="s">
        <v>1305</v>
      </c>
      <c r="C301" s="12" t="s">
        <v>2465</v>
      </c>
      <c r="D301" s="12" t="s">
        <v>1935</v>
      </c>
      <c r="E301" s="12" t="n">
        <v>26</v>
      </c>
      <c r="F301" s="12" t="n">
        <v>4</v>
      </c>
      <c r="G301" s="15" t="n">
        <v>38600</v>
      </c>
      <c r="H301" s="15" t="n">
        <v>46000</v>
      </c>
      <c r="I301" s="12"/>
      <c r="J301" s="17"/>
      <c r="K301" s="12" t="s">
        <v>1111</v>
      </c>
      <c r="L301" s="12" t="n">
        <v>0</v>
      </c>
      <c r="M301" s="15" t="n">
        <f aca="false">E301*G301</f>
        <v>1003600</v>
      </c>
      <c r="N301" s="15" t="n">
        <f aca="false">E301*H301</f>
        <v>1196000</v>
      </c>
      <c r="O301" s="18" t="n">
        <f aca="false">IF(H301=0,"",(H301-G301)/H301)</f>
        <v>0.160869565217391</v>
      </c>
      <c r="P301" s="12" t="str">
        <f aca="false">IF(J301="","",J301-README!$C$4)</f>
        <v/>
      </c>
      <c r="Q301" s="12" t="str">
        <f aca="false">IF(E301=0,"Out of stock",IF(E301&lt;=F301,"Low stock","OK"))</f>
        <v>OK</v>
      </c>
      <c r="R301" s="12" t="str">
        <f aca="false">IF(J301="","No expiry",IF(P301&lt;0,"Expired",IF(P301&lt;=30,"Expiring &lt;=30 days","OK")))</f>
        <v>No expiry</v>
      </c>
      <c r="S301" s="12"/>
    </row>
    <row r="302" customFormat="false" ht="15" hidden="false" customHeight="false" outlineLevel="0" collapsed="false">
      <c r="A302" s="12" t="s">
        <v>3119</v>
      </c>
      <c r="B302" s="12" t="s">
        <v>1305</v>
      </c>
      <c r="C302" s="12" t="s">
        <v>2467</v>
      </c>
      <c r="D302" s="12" t="s">
        <v>2468</v>
      </c>
      <c r="E302" s="12" t="n">
        <v>8</v>
      </c>
      <c r="F302" s="12" t="n">
        <v>2</v>
      </c>
      <c r="G302" s="15" t="n">
        <v>21200</v>
      </c>
      <c r="H302" s="15" t="n">
        <v>25500</v>
      </c>
      <c r="I302" s="12"/>
      <c r="J302" s="17"/>
      <c r="K302" s="12" t="s">
        <v>1120</v>
      </c>
      <c r="L302" s="12" t="n">
        <v>5</v>
      </c>
      <c r="M302" s="15" t="n">
        <f aca="false">E302*G302</f>
        <v>169600</v>
      </c>
      <c r="N302" s="15" t="n">
        <f aca="false">E302*H302</f>
        <v>204000</v>
      </c>
      <c r="O302" s="18" t="n">
        <f aca="false">IF(H302=0,"",(H302-G302)/H302)</f>
        <v>0.168627450980392</v>
      </c>
      <c r="P302" s="12" t="str">
        <f aca="false">IF(J302="","",J302-README!$C$4)</f>
        <v/>
      </c>
      <c r="Q302" s="12" t="str">
        <f aca="false">IF(E302=0,"Out of stock",IF(E302&lt;=F302,"Low stock","OK"))</f>
        <v>OK</v>
      </c>
      <c r="R302" s="12" t="str">
        <f aca="false">IF(J302="","No expiry",IF(P302&lt;0,"Expired",IF(P302&lt;=30,"Expiring &lt;=30 days","OK")))</f>
        <v>No expiry</v>
      </c>
      <c r="S302" s="12"/>
    </row>
    <row r="303" customFormat="false" ht="15" hidden="false" customHeight="false" outlineLevel="0" collapsed="false">
      <c r="A303" s="12" t="s">
        <v>3120</v>
      </c>
      <c r="B303" s="12" t="s">
        <v>1305</v>
      </c>
      <c r="C303" s="12" t="s">
        <v>2470</v>
      </c>
      <c r="D303" s="12" t="s">
        <v>1945</v>
      </c>
      <c r="E303" s="12" t="n">
        <v>11</v>
      </c>
      <c r="F303" s="12" t="n">
        <v>4</v>
      </c>
      <c r="G303" s="15" t="n">
        <v>46700</v>
      </c>
      <c r="H303" s="15" t="n">
        <v>56000</v>
      </c>
      <c r="I303" s="12"/>
      <c r="J303" s="17"/>
      <c r="K303" s="12" t="s">
        <v>1120</v>
      </c>
      <c r="L303" s="12" t="n">
        <v>7</v>
      </c>
      <c r="M303" s="15" t="n">
        <f aca="false">E303*G303</f>
        <v>513700</v>
      </c>
      <c r="N303" s="15" t="n">
        <f aca="false">E303*H303</f>
        <v>616000</v>
      </c>
      <c r="O303" s="18" t="n">
        <f aca="false">IF(H303=0,"",(H303-G303)/H303)</f>
        <v>0.166071428571429</v>
      </c>
      <c r="P303" s="12" t="str">
        <f aca="false">IF(J303="","",J303-README!$C$4)</f>
        <v/>
      </c>
      <c r="Q303" s="12" t="str">
        <f aca="false">IF(E303=0,"Out of stock",IF(E303&lt;=F303,"Low stock","OK"))</f>
        <v>OK</v>
      </c>
      <c r="R303" s="12" t="str">
        <f aca="false">IF(J303="","No expiry",IF(P303&lt;0,"Expired",IF(P303&lt;=30,"Expiring &lt;=30 days","OK")))</f>
        <v>No expiry</v>
      </c>
      <c r="S303" s="12"/>
    </row>
    <row r="304" customFormat="false" ht="15" hidden="false" customHeight="false" outlineLevel="0" collapsed="false">
      <c r="A304" s="12" t="s">
        <v>3121</v>
      </c>
      <c r="B304" s="12" t="s">
        <v>1305</v>
      </c>
      <c r="C304" s="12" t="s">
        <v>2472</v>
      </c>
      <c r="D304" s="12" t="s">
        <v>1950</v>
      </c>
      <c r="E304" s="12" t="n">
        <v>14</v>
      </c>
      <c r="F304" s="12" t="n">
        <v>4</v>
      </c>
      <c r="G304" s="15" t="n">
        <v>12700</v>
      </c>
      <c r="H304" s="15" t="n">
        <v>15500</v>
      </c>
      <c r="I304" s="12"/>
      <c r="J304" s="17"/>
      <c r="K304" s="12" t="s">
        <v>1111</v>
      </c>
      <c r="L304" s="12" t="n">
        <v>0</v>
      </c>
      <c r="M304" s="15" t="n">
        <f aca="false">E304*G304</f>
        <v>177800</v>
      </c>
      <c r="N304" s="15" t="n">
        <f aca="false">E304*H304</f>
        <v>217000</v>
      </c>
      <c r="O304" s="18" t="n">
        <f aca="false">IF(H304=0,"",(H304-G304)/H304)</f>
        <v>0.180645161290323</v>
      </c>
      <c r="P304" s="12" t="str">
        <f aca="false">IF(J304="","",J304-README!$C$4)</f>
        <v/>
      </c>
      <c r="Q304" s="12" t="str">
        <f aca="false">IF(E304=0,"Out of stock",IF(E304&lt;=F304,"Low stock","OK"))</f>
        <v>OK</v>
      </c>
      <c r="R304" s="12" t="str">
        <f aca="false">IF(J304="","No expiry",IF(P304&lt;0,"Expired",IF(P304&lt;=30,"Expiring &lt;=30 days","OK")))</f>
        <v>No expiry</v>
      </c>
      <c r="S304" s="12"/>
    </row>
    <row r="305" customFormat="false" ht="15" hidden="false" customHeight="false" outlineLevel="0" collapsed="false">
      <c r="A305" s="12" t="s">
        <v>3122</v>
      </c>
      <c r="B305" s="12" t="s">
        <v>1305</v>
      </c>
      <c r="C305" s="12" t="s">
        <v>2474</v>
      </c>
      <c r="D305" s="12" t="s">
        <v>2476</v>
      </c>
      <c r="E305" s="12" t="n">
        <v>23</v>
      </c>
      <c r="F305" s="12" t="n">
        <v>4</v>
      </c>
      <c r="G305" s="15" t="n">
        <v>123400</v>
      </c>
      <c r="H305" s="15" t="n">
        <v>153000</v>
      </c>
      <c r="I305" s="12"/>
      <c r="J305" s="17"/>
      <c r="K305" s="12" t="s">
        <v>1120</v>
      </c>
      <c r="L305" s="12" t="n">
        <v>16</v>
      </c>
      <c r="M305" s="15" t="n">
        <f aca="false">E305*G305</f>
        <v>2838200</v>
      </c>
      <c r="N305" s="15" t="n">
        <f aca="false">E305*H305</f>
        <v>3519000</v>
      </c>
      <c r="O305" s="18" t="n">
        <f aca="false">IF(H305=0,"",(H305-G305)/H305)</f>
        <v>0.193464052287582</v>
      </c>
      <c r="P305" s="12" t="str">
        <f aca="false">IF(J305="","",J305-README!$C$4)</f>
        <v/>
      </c>
      <c r="Q305" s="12" t="str">
        <f aca="false">IF(E305=0,"Out of stock",IF(E305&lt;=F305,"Low stock","OK"))</f>
        <v>OK</v>
      </c>
      <c r="R305" s="12" t="str">
        <f aca="false">IF(J305="","No expiry",IF(P305&lt;0,"Expired",IF(P305&lt;=30,"Expiring &lt;=30 days","OK")))</f>
        <v>No expiry</v>
      </c>
      <c r="S305" s="12"/>
    </row>
    <row r="306" customFormat="false" ht="15" hidden="false" customHeight="false" outlineLevel="0" collapsed="false">
      <c r="A306" s="12" t="s">
        <v>3123</v>
      </c>
      <c r="B306" s="12" t="s">
        <v>1305</v>
      </c>
      <c r="C306" s="12" t="s">
        <v>2478</v>
      </c>
      <c r="D306" s="12" t="s">
        <v>1961</v>
      </c>
      <c r="E306" s="12" t="n">
        <v>23</v>
      </c>
      <c r="F306" s="12" t="n">
        <v>4</v>
      </c>
      <c r="G306" s="15" t="n">
        <v>30700</v>
      </c>
      <c r="H306" s="15" t="n">
        <v>35500</v>
      </c>
      <c r="I306" s="12"/>
      <c r="J306" s="17"/>
      <c r="K306" s="12" t="s">
        <v>1120</v>
      </c>
      <c r="L306" s="12" t="n">
        <v>16</v>
      </c>
      <c r="M306" s="15" t="n">
        <f aca="false">E306*G306</f>
        <v>706100</v>
      </c>
      <c r="N306" s="15" t="n">
        <f aca="false">E306*H306</f>
        <v>816500</v>
      </c>
      <c r="O306" s="18" t="n">
        <f aca="false">IF(H306=0,"",(H306-G306)/H306)</f>
        <v>0.135211267605634</v>
      </c>
      <c r="P306" s="12" t="str">
        <f aca="false">IF(J306="","",J306-README!$C$4)</f>
        <v/>
      </c>
      <c r="Q306" s="12" t="str">
        <f aca="false">IF(E306=0,"Out of stock",IF(E306&lt;=F306,"Low stock","OK"))</f>
        <v>OK</v>
      </c>
      <c r="R306" s="12" t="str">
        <f aca="false">IF(J306="","No expiry",IF(P306&lt;0,"Expired",IF(P306&lt;=30,"Expiring &lt;=30 days","OK")))</f>
        <v>No expiry</v>
      </c>
      <c r="S306" s="12"/>
    </row>
    <row r="307" customFormat="false" ht="15" hidden="false" customHeight="false" outlineLevel="0" collapsed="false">
      <c r="A307" s="12" t="s">
        <v>3124</v>
      </c>
      <c r="B307" s="12" t="s">
        <v>1305</v>
      </c>
      <c r="C307" s="12" t="s">
        <v>2536</v>
      </c>
      <c r="D307" s="12" t="s">
        <v>2538</v>
      </c>
      <c r="E307" s="12" t="n">
        <v>3</v>
      </c>
      <c r="F307" s="12" t="n">
        <v>2</v>
      </c>
      <c r="G307" s="15" t="n">
        <v>114500</v>
      </c>
      <c r="H307" s="15" t="n">
        <v>122500</v>
      </c>
      <c r="I307" s="12"/>
      <c r="J307" s="17"/>
      <c r="K307" s="12" t="s">
        <v>1120</v>
      </c>
      <c r="L307" s="12" t="n">
        <v>2</v>
      </c>
      <c r="M307" s="15" t="n">
        <f aca="false">E307*G307</f>
        <v>343500</v>
      </c>
      <c r="N307" s="15" t="n">
        <f aca="false">E307*H307</f>
        <v>367500</v>
      </c>
      <c r="O307" s="18" t="n">
        <f aca="false">IF(H307=0,"",(H307-G307)/H307)</f>
        <v>0.0653061224489796</v>
      </c>
      <c r="P307" s="12" t="str">
        <f aca="false">IF(J307="","",J307-README!$C$4)</f>
        <v/>
      </c>
      <c r="Q307" s="12" t="str">
        <f aca="false">IF(E307=0,"Out of stock",IF(E307&lt;=F307,"Low stock","OK"))</f>
        <v>OK</v>
      </c>
      <c r="R307" s="12" t="str">
        <f aca="false">IF(J307="","No expiry",IF(P307&lt;0,"Expired",IF(P307&lt;=30,"Expiring &lt;=30 days","OK")))</f>
        <v>No expiry</v>
      </c>
      <c r="S307" s="12"/>
    </row>
    <row r="308" customFormat="false" ht="15" hidden="false" customHeight="false" outlineLevel="0" collapsed="false">
      <c r="A308" s="12" t="s">
        <v>3125</v>
      </c>
      <c r="B308" s="12" t="s">
        <v>1319</v>
      </c>
      <c r="C308" s="12" t="s">
        <v>2074</v>
      </c>
      <c r="D308" s="12" t="s">
        <v>2076</v>
      </c>
      <c r="E308" s="12" t="n">
        <v>38</v>
      </c>
      <c r="F308" s="12" t="n">
        <v>11</v>
      </c>
      <c r="G308" s="15" t="n">
        <v>76400</v>
      </c>
      <c r="H308" s="15" t="n">
        <v>86000</v>
      </c>
      <c r="I308" s="12" t="s">
        <v>3126</v>
      </c>
      <c r="J308" s="17" t="n">
        <v>46404</v>
      </c>
      <c r="K308" s="12" t="s">
        <v>1120</v>
      </c>
      <c r="L308" s="12" t="n">
        <v>26</v>
      </c>
      <c r="M308" s="15" t="n">
        <f aca="false">E308*G308</f>
        <v>2903200</v>
      </c>
      <c r="N308" s="15" t="n">
        <f aca="false">E308*H308</f>
        <v>3268000</v>
      </c>
      <c r="O308" s="18" t="n">
        <f aca="false">IF(H308=0,"",(H308-G308)/H308)</f>
        <v>0.111627906976744</v>
      </c>
      <c r="P308" s="12" t="n">
        <f aca="false">IF(J308="","",J308-README!$C$4)</f>
        <v>82</v>
      </c>
      <c r="Q308" s="12" t="str">
        <f aca="false">IF(E308=0,"Out of stock",IF(E308&lt;=F308,"Low stock","OK"))</f>
        <v>OK</v>
      </c>
      <c r="R308" s="12" t="str">
        <f aca="false">IF(J308="","No expiry",IF(P308&lt;0,"Expired",IF(P308&lt;=30,"Expiring &lt;=30 days","OK")))</f>
        <v>OK</v>
      </c>
      <c r="S308" s="12"/>
    </row>
    <row r="309" customFormat="false" ht="15" hidden="false" customHeight="false" outlineLevel="0" collapsed="false">
      <c r="A309" s="12" t="s">
        <v>3127</v>
      </c>
      <c r="B309" s="12" t="s">
        <v>1319</v>
      </c>
      <c r="C309" s="12" t="s">
        <v>2078</v>
      </c>
      <c r="D309" s="12" t="s">
        <v>2079</v>
      </c>
      <c r="E309" s="12" t="n">
        <v>51</v>
      </c>
      <c r="F309" s="12" t="n">
        <v>11</v>
      </c>
      <c r="G309" s="15" t="n">
        <v>37300</v>
      </c>
      <c r="H309" s="15" t="n">
        <v>42000</v>
      </c>
      <c r="I309" s="12" t="s">
        <v>3128</v>
      </c>
      <c r="J309" s="17" t="n">
        <v>46428</v>
      </c>
      <c r="K309" s="12" t="s">
        <v>1120</v>
      </c>
      <c r="L309" s="12" t="n">
        <v>35</v>
      </c>
      <c r="M309" s="15" t="n">
        <f aca="false">E309*G309</f>
        <v>1902300</v>
      </c>
      <c r="N309" s="15" t="n">
        <f aca="false">E309*H309</f>
        <v>2142000</v>
      </c>
      <c r="O309" s="18" t="n">
        <f aca="false">IF(H309=0,"",(H309-G309)/H309)</f>
        <v>0.111904761904762</v>
      </c>
      <c r="P309" s="12" t="n">
        <f aca="false">IF(J309="","",J309-README!$C$4)</f>
        <v>106</v>
      </c>
      <c r="Q309" s="12" t="str">
        <f aca="false">IF(E309=0,"Out of stock",IF(E309&lt;=F309,"Low stock","OK"))</f>
        <v>OK</v>
      </c>
      <c r="R309" s="12" t="str">
        <f aca="false">IF(J309="","No expiry",IF(P309&lt;0,"Expired",IF(P309&lt;=30,"Expiring &lt;=30 days","OK")))</f>
        <v>OK</v>
      </c>
      <c r="S309" s="12"/>
    </row>
    <row r="310" customFormat="false" ht="15" hidden="false" customHeight="false" outlineLevel="0" collapsed="false">
      <c r="A310" s="12" t="s">
        <v>3129</v>
      </c>
      <c r="B310" s="12" t="s">
        <v>1319</v>
      </c>
      <c r="C310" s="12" t="s">
        <v>2084</v>
      </c>
      <c r="D310" s="12" t="s">
        <v>2085</v>
      </c>
      <c r="E310" s="12" t="n">
        <v>66</v>
      </c>
      <c r="F310" s="12" t="n">
        <v>11</v>
      </c>
      <c r="G310" s="15" t="n">
        <v>35500</v>
      </c>
      <c r="H310" s="15" t="n">
        <v>41000</v>
      </c>
      <c r="I310" s="12" t="s">
        <v>3130</v>
      </c>
      <c r="J310" s="17" t="n">
        <v>46368</v>
      </c>
      <c r="K310" s="12" t="s">
        <v>1120</v>
      </c>
      <c r="L310" s="12" t="n">
        <v>46</v>
      </c>
      <c r="M310" s="15" t="n">
        <f aca="false">E310*G310</f>
        <v>2343000</v>
      </c>
      <c r="N310" s="15" t="n">
        <f aca="false">E310*H310</f>
        <v>2706000</v>
      </c>
      <c r="O310" s="18" t="n">
        <f aca="false">IF(H310=0,"",(H310-G310)/H310)</f>
        <v>0.134146341463415</v>
      </c>
      <c r="P310" s="12" t="n">
        <f aca="false">IF(J310="","",J310-README!$C$4)</f>
        <v>46</v>
      </c>
      <c r="Q310" s="12" t="str">
        <f aca="false">IF(E310=0,"Out of stock",IF(E310&lt;=F310,"Low stock","OK"))</f>
        <v>OK</v>
      </c>
      <c r="R310" s="12" t="str">
        <f aca="false">IF(J310="","No expiry",IF(P310&lt;0,"Expired",IF(P310&lt;=30,"Expiring &lt;=30 days","OK")))</f>
        <v>OK</v>
      </c>
      <c r="S310" s="12"/>
    </row>
    <row r="311" customFormat="false" ht="15" hidden="false" customHeight="false" outlineLevel="0" collapsed="false">
      <c r="A311" s="12" t="s">
        <v>3131</v>
      </c>
      <c r="B311" s="12" t="s">
        <v>1319</v>
      </c>
      <c r="C311" s="12" t="s">
        <v>2093</v>
      </c>
      <c r="D311" s="12" t="s">
        <v>2094</v>
      </c>
      <c r="E311" s="12" t="n">
        <v>55</v>
      </c>
      <c r="F311" s="12" t="n">
        <v>11</v>
      </c>
      <c r="G311" s="15" t="n">
        <v>29300</v>
      </c>
      <c r="H311" s="15" t="n">
        <v>33500</v>
      </c>
      <c r="I311" s="12" t="s">
        <v>3132</v>
      </c>
      <c r="J311" s="17" t="n">
        <v>46384</v>
      </c>
      <c r="K311" s="12" t="s">
        <v>1120</v>
      </c>
      <c r="L311" s="12" t="n">
        <v>38</v>
      </c>
      <c r="M311" s="15" t="n">
        <f aca="false">E311*G311</f>
        <v>1611500</v>
      </c>
      <c r="N311" s="15" t="n">
        <f aca="false">E311*H311</f>
        <v>1842500</v>
      </c>
      <c r="O311" s="18" t="n">
        <f aca="false">IF(H311=0,"",(H311-G311)/H311)</f>
        <v>0.125373134328358</v>
      </c>
      <c r="P311" s="12" t="n">
        <f aca="false">IF(J311="","",J311-README!$C$4)</f>
        <v>62</v>
      </c>
      <c r="Q311" s="12" t="str">
        <f aca="false">IF(E311=0,"Out of stock",IF(E311&lt;=F311,"Low stock","OK"))</f>
        <v>OK</v>
      </c>
      <c r="R311" s="12" t="str">
        <f aca="false">IF(J311="","No expiry",IF(P311&lt;0,"Expired",IF(P311&lt;=30,"Expiring &lt;=30 days","OK")))</f>
        <v>OK</v>
      </c>
      <c r="S311" s="12"/>
    </row>
    <row r="312" customFormat="false" ht="15" hidden="false" customHeight="false" outlineLevel="0" collapsed="false">
      <c r="A312" s="12" t="s">
        <v>3133</v>
      </c>
      <c r="B312" s="12" t="s">
        <v>1319</v>
      </c>
      <c r="C312" s="12" t="s">
        <v>2096</v>
      </c>
      <c r="D312" s="12" t="s">
        <v>2097</v>
      </c>
      <c r="E312" s="12" t="n">
        <v>54</v>
      </c>
      <c r="F312" s="12" t="n">
        <v>11</v>
      </c>
      <c r="G312" s="15" t="n">
        <v>57600</v>
      </c>
      <c r="H312" s="15" t="n">
        <v>65000</v>
      </c>
      <c r="I312" s="12" t="s">
        <v>3134</v>
      </c>
      <c r="J312" s="17" t="n">
        <v>46414</v>
      </c>
      <c r="K312" s="12" t="s">
        <v>1120</v>
      </c>
      <c r="L312" s="12" t="n">
        <v>37</v>
      </c>
      <c r="M312" s="15" t="n">
        <f aca="false">E312*G312</f>
        <v>3110400</v>
      </c>
      <c r="N312" s="15" t="n">
        <f aca="false">E312*H312</f>
        <v>3510000</v>
      </c>
      <c r="O312" s="18" t="n">
        <f aca="false">IF(H312=0,"",(H312-G312)/H312)</f>
        <v>0.113846153846154</v>
      </c>
      <c r="P312" s="12" t="n">
        <f aca="false">IF(J312="","",J312-README!$C$4)</f>
        <v>92</v>
      </c>
      <c r="Q312" s="12" t="str">
        <f aca="false">IF(E312=0,"Out of stock",IF(E312&lt;=F312,"Low stock","OK"))</f>
        <v>OK</v>
      </c>
      <c r="R312" s="12" t="str">
        <f aca="false">IF(J312="","No expiry",IF(P312&lt;0,"Expired",IF(P312&lt;=30,"Expiring &lt;=30 days","OK")))</f>
        <v>OK</v>
      </c>
      <c r="S312" s="12"/>
    </row>
    <row r="313" customFormat="false" ht="15" hidden="false" customHeight="false" outlineLevel="0" collapsed="false">
      <c r="A313" s="12" t="s">
        <v>3135</v>
      </c>
      <c r="B313" s="12" t="s">
        <v>1319</v>
      </c>
      <c r="C313" s="12" t="s">
        <v>2102</v>
      </c>
      <c r="D313" s="12" t="s">
        <v>2103</v>
      </c>
      <c r="E313" s="12" t="n">
        <v>74</v>
      </c>
      <c r="F313" s="12" t="n">
        <v>11</v>
      </c>
      <c r="G313" s="15" t="n">
        <v>53700</v>
      </c>
      <c r="H313" s="15" t="n">
        <v>63000</v>
      </c>
      <c r="I313" s="12" t="s">
        <v>3136</v>
      </c>
      <c r="J313" s="17" t="n">
        <v>46413</v>
      </c>
      <c r="K313" s="12" t="s">
        <v>1120</v>
      </c>
      <c r="L313" s="12" t="n">
        <v>51</v>
      </c>
      <c r="M313" s="15" t="n">
        <f aca="false">E313*G313</f>
        <v>3973800</v>
      </c>
      <c r="N313" s="15" t="n">
        <f aca="false">E313*H313</f>
        <v>4662000</v>
      </c>
      <c r="O313" s="18" t="n">
        <f aca="false">IF(H313=0,"",(H313-G313)/H313)</f>
        <v>0.147619047619048</v>
      </c>
      <c r="P313" s="12" t="n">
        <f aca="false">IF(J313="","",J313-README!$C$4)</f>
        <v>91</v>
      </c>
      <c r="Q313" s="12" t="str">
        <f aca="false">IF(E313=0,"Out of stock",IF(E313&lt;=F313,"Low stock","OK"))</f>
        <v>OK</v>
      </c>
      <c r="R313" s="12" t="str">
        <f aca="false">IF(J313="","No expiry",IF(P313&lt;0,"Expired",IF(P313&lt;=30,"Expiring &lt;=30 days","OK")))</f>
        <v>OK</v>
      </c>
      <c r="S313" s="12"/>
    </row>
    <row r="314" customFormat="false" ht="15" hidden="false" customHeight="false" outlineLevel="0" collapsed="false">
      <c r="A314" s="12" t="s">
        <v>3137</v>
      </c>
      <c r="B314" s="12" t="s">
        <v>1319</v>
      </c>
      <c r="C314" s="12" t="s">
        <v>2105</v>
      </c>
      <c r="D314" s="12" t="s">
        <v>2106</v>
      </c>
      <c r="E314" s="12" t="n">
        <v>44</v>
      </c>
      <c r="F314" s="12" t="n">
        <v>11</v>
      </c>
      <c r="G314" s="15" t="n">
        <v>54000</v>
      </c>
      <c r="H314" s="15" t="n">
        <v>61000</v>
      </c>
      <c r="I314" s="12" t="s">
        <v>3138</v>
      </c>
      <c r="J314" s="17" t="n">
        <v>46429</v>
      </c>
      <c r="K314" s="12" t="s">
        <v>1120</v>
      </c>
      <c r="L314" s="12" t="n">
        <v>30</v>
      </c>
      <c r="M314" s="15" t="n">
        <f aca="false">E314*G314</f>
        <v>2376000</v>
      </c>
      <c r="N314" s="15" t="n">
        <f aca="false">E314*H314</f>
        <v>2684000</v>
      </c>
      <c r="O314" s="18" t="n">
        <f aca="false">IF(H314=0,"",(H314-G314)/H314)</f>
        <v>0.114754098360656</v>
      </c>
      <c r="P314" s="12" t="n">
        <f aca="false">IF(J314="","",J314-README!$C$4)</f>
        <v>107</v>
      </c>
      <c r="Q314" s="12" t="str">
        <f aca="false">IF(E314=0,"Out of stock",IF(E314&lt;=F314,"Low stock","OK"))</f>
        <v>OK</v>
      </c>
      <c r="R314" s="12" t="str">
        <f aca="false">IF(J314="","No expiry",IF(P314&lt;0,"Expired",IF(P314&lt;=30,"Expiring &lt;=30 days","OK")))</f>
        <v>OK</v>
      </c>
      <c r="S314" s="12"/>
    </row>
    <row r="315" customFormat="false" ht="15" hidden="false" customHeight="false" outlineLevel="0" collapsed="false">
      <c r="A315" s="12" t="s">
        <v>3139</v>
      </c>
      <c r="B315" s="12" t="s">
        <v>1319</v>
      </c>
      <c r="C315" s="12" t="s">
        <v>2111</v>
      </c>
      <c r="D315" s="12" t="s">
        <v>2112</v>
      </c>
      <c r="E315" s="12" t="n">
        <v>35</v>
      </c>
      <c r="F315" s="12" t="n">
        <v>11</v>
      </c>
      <c r="G315" s="15" t="n">
        <v>58800</v>
      </c>
      <c r="H315" s="15" t="n">
        <v>69500</v>
      </c>
      <c r="I315" s="12" t="s">
        <v>3140</v>
      </c>
      <c r="J315" s="17" t="n">
        <v>46468</v>
      </c>
      <c r="K315" s="12" t="s">
        <v>1120</v>
      </c>
      <c r="L315" s="12" t="n">
        <v>24</v>
      </c>
      <c r="M315" s="15" t="n">
        <f aca="false">E315*G315</f>
        <v>2058000</v>
      </c>
      <c r="N315" s="15" t="n">
        <f aca="false">E315*H315</f>
        <v>2432500</v>
      </c>
      <c r="O315" s="18" t="n">
        <f aca="false">IF(H315=0,"",(H315-G315)/H315)</f>
        <v>0.153956834532374</v>
      </c>
      <c r="P315" s="12" t="n">
        <f aca="false">IF(J315="","",J315-README!$C$4)</f>
        <v>146</v>
      </c>
      <c r="Q315" s="12" t="str">
        <f aca="false">IF(E315=0,"Out of stock",IF(E315&lt;=F315,"Low stock","OK"))</f>
        <v>OK</v>
      </c>
      <c r="R315" s="12" t="str">
        <f aca="false">IF(J315="","No expiry",IF(P315&lt;0,"Expired",IF(P315&lt;=30,"Expiring &lt;=30 days","OK")))</f>
        <v>OK</v>
      </c>
      <c r="S315" s="12"/>
    </row>
    <row r="316" customFormat="false" ht="15" hidden="false" customHeight="false" outlineLevel="0" collapsed="false">
      <c r="A316" s="12" t="s">
        <v>3141</v>
      </c>
      <c r="B316" s="12" t="s">
        <v>1319</v>
      </c>
      <c r="C316" s="12" t="s">
        <v>2114</v>
      </c>
      <c r="D316" s="12" t="s">
        <v>2115</v>
      </c>
      <c r="E316" s="12" t="n">
        <v>31</v>
      </c>
      <c r="F316" s="12" t="n">
        <v>11</v>
      </c>
      <c r="G316" s="15" t="n">
        <v>55400</v>
      </c>
      <c r="H316" s="15" t="n">
        <v>63000</v>
      </c>
      <c r="I316" s="12" t="s">
        <v>3142</v>
      </c>
      <c r="J316" s="17" t="n">
        <v>46412</v>
      </c>
      <c r="K316" s="12" t="s">
        <v>1120</v>
      </c>
      <c r="L316" s="12" t="n">
        <v>21</v>
      </c>
      <c r="M316" s="15" t="n">
        <f aca="false">E316*G316</f>
        <v>1717400</v>
      </c>
      <c r="N316" s="15" t="n">
        <f aca="false">E316*H316</f>
        <v>1953000</v>
      </c>
      <c r="O316" s="18" t="n">
        <f aca="false">IF(H316=0,"",(H316-G316)/H316)</f>
        <v>0.120634920634921</v>
      </c>
      <c r="P316" s="12" t="n">
        <f aca="false">IF(J316="","",J316-README!$C$4)</f>
        <v>90</v>
      </c>
      <c r="Q316" s="12" t="str">
        <f aca="false">IF(E316=0,"Out of stock",IF(E316&lt;=F316,"Low stock","OK"))</f>
        <v>OK</v>
      </c>
      <c r="R316" s="12" t="str">
        <f aca="false">IF(J316="","No expiry",IF(P316&lt;0,"Expired",IF(P316&lt;=30,"Expiring &lt;=30 days","OK")))</f>
        <v>OK</v>
      </c>
      <c r="S316" s="12"/>
    </row>
    <row r="317" customFormat="false" ht="15" hidden="false" customHeight="false" outlineLevel="0" collapsed="false">
      <c r="A317" s="12" t="s">
        <v>3143</v>
      </c>
      <c r="B317" s="12" t="s">
        <v>1319</v>
      </c>
      <c r="C317" s="12" t="s">
        <v>2117</v>
      </c>
      <c r="D317" s="12" t="s">
        <v>2118</v>
      </c>
      <c r="E317" s="12" t="n">
        <v>41</v>
      </c>
      <c r="F317" s="12" t="n">
        <v>11</v>
      </c>
      <c r="G317" s="15" t="n">
        <v>42800</v>
      </c>
      <c r="H317" s="15" t="n">
        <v>50500</v>
      </c>
      <c r="I317" s="12" t="s">
        <v>3144</v>
      </c>
      <c r="J317" s="17" t="n">
        <v>46472</v>
      </c>
      <c r="K317" s="12" t="s">
        <v>1120</v>
      </c>
      <c r="L317" s="12" t="n">
        <v>28</v>
      </c>
      <c r="M317" s="15" t="n">
        <f aca="false">E317*G317</f>
        <v>1754800</v>
      </c>
      <c r="N317" s="15" t="n">
        <f aca="false">E317*H317</f>
        <v>2070500</v>
      </c>
      <c r="O317" s="18" t="n">
        <f aca="false">IF(H317=0,"",(H317-G317)/H317)</f>
        <v>0.152475247524752</v>
      </c>
      <c r="P317" s="12" t="n">
        <f aca="false">IF(J317="","",J317-README!$C$4)</f>
        <v>150</v>
      </c>
      <c r="Q317" s="12" t="str">
        <f aca="false">IF(E317=0,"Out of stock",IF(E317&lt;=F317,"Low stock","OK"))</f>
        <v>OK</v>
      </c>
      <c r="R317" s="12" t="str">
        <f aca="false">IF(J317="","No expiry",IF(P317&lt;0,"Expired",IF(P317&lt;=30,"Expiring &lt;=30 days","OK")))</f>
        <v>OK</v>
      </c>
      <c r="S317" s="12"/>
    </row>
    <row r="318" customFormat="false" ht="15" hidden="false" customHeight="false" outlineLevel="0" collapsed="false">
      <c r="A318" s="12" t="s">
        <v>3145</v>
      </c>
      <c r="B318" s="12" t="s">
        <v>1319</v>
      </c>
      <c r="C318" s="12" t="s">
        <v>2120</v>
      </c>
      <c r="D318" s="12" t="s">
        <v>2122</v>
      </c>
      <c r="E318" s="12" t="n">
        <v>70</v>
      </c>
      <c r="F318" s="12" t="n">
        <v>11</v>
      </c>
      <c r="G318" s="15" t="n">
        <v>58200</v>
      </c>
      <c r="H318" s="15" t="n">
        <v>68000</v>
      </c>
      <c r="I318" s="12" t="s">
        <v>3146</v>
      </c>
      <c r="J318" s="17" t="n">
        <v>46440</v>
      </c>
      <c r="K318" s="12" t="s">
        <v>1120</v>
      </c>
      <c r="L318" s="12" t="n">
        <v>49</v>
      </c>
      <c r="M318" s="15" t="n">
        <f aca="false">E318*G318</f>
        <v>4074000</v>
      </c>
      <c r="N318" s="15" t="n">
        <f aca="false">E318*H318</f>
        <v>4760000</v>
      </c>
      <c r="O318" s="18" t="n">
        <f aca="false">IF(H318=0,"",(H318-G318)/H318)</f>
        <v>0.144117647058824</v>
      </c>
      <c r="P318" s="12" t="n">
        <f aca="false">IF(J318="","",J318-README!$C$4)</f>
        <v>118</v>
      </c>
      <c r="Q318" s="12" t="str">
        <f aca="false">IF(E318=0,"Out of stock",IF(E318&lt;=F318,"Low stock","OK"))</f>
        <v>OK</v>
      </c>
      <c r="R318" s="12" t="str">
        <f aca="false">IF(J318="","No expiry",IF(P318&lt;0,"Expired",IF(P318&lt;=30,"Expiring &lt;=30 days","OK")))</f>
        <v>OK</v>
      </c>
      <c r="S318" s="12"/>
    </row>
    <row r="319" customFormat="false" ht="15" hidden="false" customHeight="false" outlineLevel="0" collapsed="false">
      <c r="A319" s="12" t="s">
        <v>3147</v>
      </c>
      <c r="B319" s="12" t="s">
        <v>1319</v>
      </c>
      <c r="C319" s="12" t="s">
        <v>2124</v>
      </c>
      <c r="D319" s="12" t="s">
        <v>2125</v>
      </c>
      <c r="E319" s="12" t="n">
        <v>31</v>
      </c>
      <c r="F319" s="12" t="n">
        <v>11</v>
      </c>
      <c r="G319" s="15" t="n">
        <v>39000</v>
      </c>
      <c r="H319" s="15" t="n">
        <v>47000</v>
      </c>
      <c r="I319" s="12" t="s">
        <v>3148</v>
      </c>
      <c r="J319" s="17" t="n">
        <v>46381</v>
      </c>
      <c r="K319" s="12" t="s">
        <v>1120</v>
      </c>
      <c r="L319" s="12" t="n">
        <v>21</v>
      </c>
      <c r="M319" s="15" t="n">
        <f aca="false">E319*G319</f>
        <v>1209000</v>
      </c>
      <c r="N319" s="15" t="n">
        <f aca="false">E319*H319</f>
        <v>1457000</v>
      </c>
      <c r="O319" s="18" t="n">
        <f aca="false">IF(H319=0,"",(H319-G319)/H319)</f>
        <v>0.170212765957447</v>
      </c>
      <c r="P319" s="12" t="n">
        <f aca="false">IF(J319="","",J319-README!$C$4)</f>
        <v>59</v>
      </c>
      <c r="Q319" s="12" t="str">
        <f aca="false">IF(E319=0,"Out of stock",IF(E319&lt;=F319,"Low stock","OK"))</f>
        <v>OK</v>
      </c>
      <c r="R319" s="12" t="str">
        <f aca="false">IF(J319="","No expiry",IF(P319&lt;0,"Expired",IF(P319&lt;=30,"Expiring &lt;=30 days","OK")))</f>
        <v>OK</v>
      </c>
      <c r="S319" s="12"/>
    </row>
    <row r="320" customFormat="false" ht="15" hidden="false" customHeight="false" outlineLevel="0" collapsed="false">
      <c r="A320" s="12" t="s">
        <v>3149</v>
      </c>
      <c r="B320" s="12" t="s">
        <v>1319</v>
      </c>
      <c r="C320" s="12" t="s">
        <v>2127</v>
      </c>
      <c r="D320" s="12" t="s">
        <v>2128</v>
      </c>
      <c r="E320" s="12" t="n">
        <v>13</v>
      </c>
      <c r="F320" s="12" t="n">
        <v>11</v>
      </c>
      <c r="G320" s="15" t="n">
        <v>38900</v>
      </c>
      <c r="H320" s="15" t="n">
        <v>47000</v>
      </c>
      <c r="I320" s="12" t="s">
        <v>3150</v>
      </c>
      <c r="J320" s="17" t="n">
        <v>46360</v>
      </c>
      <c r="K320" s="12" t="s">
        <v>1120</v>
      </c>
      <c r="L320" s="12" t="n">
        <v>9</v>
      </c>
      <c r="M320" s="15" t="n">
        <f aca="false">E320*G320</f>
        <v>505700</v>
      </c>
      <c r="N320" s="15" t="n">
        <f aca="false">E320*H320</f>
        <v>611000</v>
      </c>
      <c r="O320" s="18" t="n">
        <f aca="false">IF(H320=0,"",(H320-G320)/H320)</f>
        <v>0.172340425531915</v>
      </c>
      <c r="P320" s="12" t="n">
        <f aca="false">IF(J320="","",J320-README!$C$4)</f>
        <v>38</v>
      </c>
      <c r="Q320" s="12" t="str">
        <f aca="false">IF(E320=0,"Out of stock",IF(E320&lt;=F320,"Low stock","OK"))</f>
        <v>OK</v>
      </c>
      <c r="R320" s="12" t="str">
        <f aca="false">IF(J320="","No expiry",IF(P320&lt;0,"Expired",IF(P320&lt;=30,"Expiring &lt;=30 days","OK")))</f>
        <v>OK</v>
      </c>
      <c r="S320" s="12"/>
    </row>
    <row r="321" customFormat="false" ht="15" hidden="false" customHeight="false" outlineLevel="0" collapsed="false">
      <c r="A321" s="12" t="s">
        <v>3151</v>
      </c>
      <c r="B321" s="12" t="s">
        <v>1319</v>
      </c>
      <c r="C321" s="12" t="s">
        <v>2139</v>
      </c>
      <c r="D321" s="12" t="s">
        <v>2140</v>
      </c>
      <c r="E321" s="12" t="n">
        <v>48</v>
      </c>
      <c r="F321" s="12" t="n">
        <v>11</v>
      </c>
      <c r="G321" s="15" t="n">
        <v>35500</v>
      </c>
      <c r="H321" s="15" t="n">
        <v>40000</v>
      </c>
      <c r="I321" s="12" t="s">
        <v>3152</v>
      </c>
      <c r="J321" s="17" t="n">
        <v>46396</v>
      </c>
      <c r="K321" s="12" t="s">
        <v>1111</v>
      </c>
      <c r="L321" s="12" t="n">
        <v>0</v>
      </c>
      <c r="M321" s="15" t="n">
        <f aca="false">E321*G321</f>
        <v>1704000</v>
      </c>
      <c r="N321" s="15" t="n">
        <f aca="false">E321*H321</f>
        <v>1920000</v>
      </c>
      <c r="O321" s="18" t="n">
        <f aca="false">IF(H321=0,"",(H321-G321)/H321)</f>
        <v>0.1125</v>
      </c>
      <c r="P321" s="12" t="n">
        <f aca="false">IF(J321="","",J321-README!$C$4)</f>
        <v>74</v>
      </c>
      <c r="Q321" s="12" t="str">
        <f aca="false">IF(E321=0,"Out of stock",IF(E321&lt;=F321,"Low stock","OK"))</f>
        <v>OK</v>
      </c>
      <c r="R321" s="12" t="str">
        <f aca="false">IF(J321="","No expiry",IF(P321&lt;0,"Expired",IF(P321&lt;=30,"Expiring &lt;=30 days","OK")))</f>
        <v>OK</v>
      </c>
      <c r="S321" s="12"/>
    </row>
    <row r="322" customFormat="false" ht="15" hidden="false" customHeight="false" outlineLevel="0" collapsed="false">
      <c r="A322" s="12" t="s">
        <v>3153</v>
      </c>
      <c r="B322" s="12" t="s">
        <v>1319</v>
      </c>
      <c r="C322" s="12" t="s">
        <v>2142</v>
      </c>
      <c r="D322" s="12" t="s">
        <v>2143</v>
      </c>
      <c r="E322" s="12" t="n">
        <v>0</v>
      </c>
      <c r="F322" s="12" t="n">
        <v>11</v>
      </c>
      <c r="G322" s="15" t="n">
        <v>42200</v>
      </c>
      <c r="H322" s="15" t="n">
        <v>51500</v>
      </c>
      <c r="I322" s="12" t="s">
        <v>3154</v>
      </c>
      <c r="J322" s="17" t="n">
        <v>46392</v>
      </c>
      <c r="K322" s="12" t="s">
        <v>1120</v>
      </c>
      <c r="L322" s="12" t="n">
        <v>0</v>
      </c>
      <c r="M322" s="15" t="n">
        <f aca="false">E322*G322</f>
        <v>0</v>
      </c>
      <c r="N322" s="15" t="n">
        <f aca="false">E322*H322</f>
        <v>0</v>
      </c>
      <c r="O322" s="18" t="n">
        <f aca="false">IF(H322=0,"",(H322-G322)/H322)</f>
        <v>0.180582524271845</v>
      </c>
      <c r="P322" s="12" t="n">
        <f aca="false">IF(J322="","",J322-README!$C$4)</f>
        <v>70</v>
      </c>
      <c r="Q322" s="12" t="str">
        <f aca="false">IF(E322=0,"Out of stock",IF(E322&lt;=F322,"Low stock","OK"))</f>
        <v>Out of stock</v>
      </c>
      <c r="R322" s="12" t="str">
        <f aca="false">IF(J322="","No expiry",IF(P322&lt;0,"Expired",IF(P322&lt;=30,"Expiring &lt;=30 days","OK")))</f>
        <v>OK</v>
      </c>
      <c r="S322" s="19" t="s">
        <v>3155</v>
      </c>
    </row>
    <row r="323" customFormat="false" ht="15" hidden="false" customHeight="false" outlineLevel="0" collapsed="false">
      <c r="A323" s="12" t="s">
        <v>3156</v>
      </c>
      <c r="B323" s="12" t="s">
        <v>1319</v>
      </c>
      <c r="C323" s="12" t="s">
        <v>2148</v>
      </c>
      <c r="D323" s="12" t="s">
        <v>2149</v>
      </c>
      <c r="E323" s="12" t="n">
        <v>49</v>
      </c>
      <c r="F323" s="12" t="n">
        <v>11</v>
      </c>
      <c r="G323" s="15" t="n">
        <v>98200</v>
      </c>
      <c r="H323" s="15" t="n">
        <v>110000</v>
      </c>
      <c r="I323" s="12" t="s">
        <v>3157</v>
      </c>
      <c r="J323" s="17" t="n">
        <v>46435</v>
      </c>
      <c r="K323" s="12" t="s">
        <v>1120</v>
      </c>
      <c r="L323" s="12" t="n">
        <v>34</v>
      </c>
      <c r="M323" s="15" t="n">
        <f aca="false">E323*G323</f>
        <v>4811800</v>
      </c>
      <c r="N323" s="15" t="n">
        <f aca="false">E323*H323</f>
        <v>5390000</v>
      </c>
      <c r="O323" s="18" t="n">
        <f aca="false">IF(H323=0,"",(H323-G323)/H323)</f>
        <v>0.107272727272727</v>
      </c>
      <c r="P323" s="12" t="n">
        <f aca="false">IF(J323="","",J323-README!$C$4)</f>
        <v>113</v>
      </c>
      <c r="Q323" s="12" t="str">
        <f aca="false">IF(E323=0,"Out of stock",IF(E323&lt;=F323,"Low stock","OK"))</f>
        <v>OK</v>
      </c>
      <c r="R323" s="12" t="str">
        <f aca="false">IF(J323="","No expiry",IF(P323&lt;0,"Expired",IF(P323&lt;=30,"Expiring &lt;=30 days","OK")))</f>
        <v>OK</v>
      </c>
      <c r="S323" s="12"/>
    </row>
    <row r="324" customFormat="false" ht="15" hidden="false" customHeight="false" outlineLevel="0" collapsed="false">
      <c r="A324" s="12" t="s">
        <v>3158</v>
      </c>
      <c r="B324" s="12" t="s">
        <v>1319</v>
      </c>
      <c r="C324" s="12" t="s">
        <v>2154</v>
      </c>
      <c r="D324" s="12" t="s">
        <v>2155</v>
      </c>
      <c r="E324" s="12" t="n">
        <v>80</v>
      </c>
      <c r="F324" s="12" t="n">
        <v>11</v>
      </c>
      <c r="G324" s="15" t="n">
        <v>62200</v>
      </c>
      <c r="H324" s="15" t="n">
        <v>73500</v>
      </c>
      <c r="I324" s="12" t="s">
        <v>3159</v>
      </c>
      <c r="J324" s="17" t="n">
        <v>46451</v>
      </c>
      <c r="K324" s="12" t="s">
        <v>1120</v>
      </c>
      <c r="L324" s="12" t="n">
        <v>56</v>
      </c>
      <c r="M324" s="15" t="n">
        <f aca="false">E324*G324</f>
        <v>4976000</v>
      </c>
      <c r="N324" s="15" t="n">
        <f aca="false">E324*H324</f>
        <v>5880000</v>
      </c>
      <c r="O324" s="18" t="n">
        <f aca="false">IF(H324=0,"",(H324-G324)/H324)</f>
        <v>0.153741496598639</v>
      </c>
      <c r="P324" s="12" t="n">
        <f aca="false">IF(J324="","",J324-README!$C$4)</f>
        <v>129</v>
      </c>
      <c r="Q324" s="12" t="str">
        <f aca="false">IF(E324=0,"Out of stock",IF(E324&lt;=F324,"Low stock","OK"))</f>
        <v>OK</v>
      </c>
      <c r="R324" s="12" t="str">
        <f aca="false">IF(J324="","No expiry",IF(P324&lt;0,"Expired",IF(P324&lt;=30,"Expiring &lt;=30 days","OK")))</f>
        <v>OK</v>
      </c>
      <c r="S324" s="12"/>
    </row>
    <row r="325" customFormat="false" ht="15" hidden="false" customHeight="false" outlineLevel="0" collapsed="false">
      <c r="A325" s="12" t="s">
        <v>3160</v>
      </c>
      <c r="B325" s="12" t="s">
        <v>1319</v>
      </c>
      <c r="C325" s="12" t="s">
        <v>2161</v>
      </c>
      <c r="D325" s="12" t="s">
        <v>2163</v>
      </c>
      <c r="E325" s="12" t="n">
        <v>29</v>
      </c>
      <c r="F325" s="12" t="n">
        <v>11</v>
      </c>
      <c r="G325" s="15" t="n">
        <v>36900</v>
      </c>
      <c r="H325" s="15" t="n">
        <v>44000</v>
      </c>
      <c r="I325" s="12" t="s">
        <v>3161</v>
      </c>
      <c r="J325" s="17" t="n">
        <v>46579</v>
      </c>
      <c r="K325" s="12" t="s">
        <v>1120</v>
      </c>
      <c r="L325" s="12" t="n">
        <v>20</v>
      </c>
      <c r="M325" s="15" t="n">
        <f aca="false">E325*G325</f>
        <v>1070100</v>
      </c>
      <c r="N325" s="15" t="n">
        <f aca="false">E325*H325</f>
        <v>1276000</v>
      </c>
      <c r="O325" s="18" t="n">
        <f aca="false">IF(H325=0,"",(H325-G325)/H325)</f>
        <v>0.161363636363636</v>
      </c>
      <c r="P325" s="12" t="n">
        <f aca="false">IF(J325="","",J325-README!$C$4)</f>
        <v>257</v>
      </c>
      <c r="Q325" s="12" t="str">
        <f aca="false">IF(E325=0,"Out of stock",IF(E325&lt;=F325,"Low stock","OK"))</f>
        <v>OK</v>
      </c>
      <c r="R325" s="12" t="str">
        <f aca="false">IF(J325="","No expiry",IF(P325&lt;0,"Expired",IF(P325&lt;=30,"Expiring &lt;=30 days","OK")))</f>
        <v>OK</v>
      </c>
      <c r="S325" s="12"/>
    </row>
    <row r="326" customFormat="false" ht="15" hidden="false" customHeight="false" outlineLevel="0" collapsed="false">
      <c r="A326" s="12" t="s">
        <v>3162</v>
      </c>
      <c r="B326" s="12" t="s">
        <v>1319</v>
      </c>
      <c r="C326" s="12" t="s">
        <v>2165</v>
      </c>
      <c r="D326" s="12" t="s">
        <v>2166</v>
      </c>
      <c r="E326" s="12" t="n">
        <v>10</v>
      </c>
      <c r="F326" s="12" t="n">
        <v>8</v>
      </c>
      <c r="G326" s="15" t="n">
        <v>7800</v>
      </c>
      <c r="H326" s="15" t="n">
        <v>8900</v>
      </c>
      <c r="I326" s="12" t="s">
        <v>3163</v>
      </c>
      <c r="J326" s="17" t="n">
        <v>46671</v>
      </c>
      <c r="K326" s="12" t="s">
        <v>1120</v>
      </c>
      <c r="L326" s="12" t="n">
        <v>7</v>
      </c>
      <c r="M326" s="15" t="n">
        <f aca="false">E326*G326</f>
        <v>78000</v>
      </c>
      <c r="N326" s="15" t="n">
        <f aca="false">E326*H326</f>
        <v>89000</v>
      </c>
      <c r="O326" s="18" t="n">
        <f aca="false">IF(H326=0,"",(H326-G326)/H326)</f>
        <v>0.123595505617978</v>
      </c>
      <c r="P326" s="12" t="n">
        <f aca="false">IF(J326="","",J326-README!$C$4)</f>
        <v>349</v>
      </c>
      <c r="Q326" s="12" t="str">
        <f aca="false">IF(E326=0,"Out of stock",IF(E326&lt;=F326,"Low stock","OK"))</f>
        <v>OK</v>
      </c>
      <c r="R326" s="12" t="str">
        <f aca="false">IF(J326="","No expiry",IF(P326&lt;0,"Expired",IF(P326&lt;=30,"Expiring &lt;=30 days","OK")))</f>
        <v>OK</v>
      </c>
      <c r="S326" s="12"/>
    </row>
    <row r="327" customFormat="false" ht="15" hidden="false" customHeight="false" outlineLevel="0" collapsed="false">
      <c r="A327" s="12" t="s">
        <v>3164</v>
      </c>
      <c r="B327" s="12" t="s">
        <v>1319</v>
      </c>
      <c r="C327" s="12" t="s">
        <v>2171</v>
      </c>
      <c r="D327" s="12" t="s">
        <v>2172</v>
      </c>
      <c r="E327" s="12" t="n">
        <v>57</v>
      </c>
      <c r="F327" s="12" t="n">
        <v>8</v>
      </c>
      <c r="G327" s="15" t="n">
        <v>7200</v>
      </c>
      <c r="H327" s="15" t="n">
        <v>8900</v>
      </c>
      <c r="I327" s="12" t="s">
        <v>3165</v>
      </c>
      <c r="J327" s="17" t="n">
        <v>46444</v>
      </c>
      <c r="K327" s="12" t="s">
        <v>1120</v>
      </c>
      <c r="L327" s="12" t="n">
        <v>39</v>
      </c>
      <c r="M327" s="15" t="n">
        <f aca="false">E327*G327</f>
        <v>410400</v>
      </c>
      <c r="N327" s="15" t="n">
        <f aca="false">E327*H327</f>
        <v>507300</v>
      </c>
      <c r="O327" s="18" t="n">
        <f aca="false">IF(H327=0,"",(H327-G327)/H327)</f>
        <v>0.191011235955056</v>
      </c>
      <c r="P327" s="12" t="n">
        <f aca="false">IF(J327="","",J327-README!$C$4)</f>
        <v>122</v>
      </c>
      <c r="Q327" s="12" t="str">
        <f aca="false">IF(E327=0,"Out of stock",IF(E327&lt;=F327,"Low stock","OK"))</f>
        <v>OK</v>
      </c>
      <c r="R327" s="12" t="str">
        <f aca="false">IF(J327="","No expiry",IF(P327&lt;0,"Expired",IF(P327&lt;=30,"Expiring &lt;=30 days","OK")))</f>
        <v>OK</v>
      </c>
      <c r="S327" s="12"/>
    </row>
    <row r="328" customFormat="false" ht="15" hidden="false" customHeight="false" outlineLevel="0" collapsed="false">
      <c r="A328" s="12" t="s">
        <v>3166</v>
      </c>
      <c r="B328" s="12" t="s">
        <v>1319</v>
      </c>
      <c r="C328" s="12" t="s">
        <v>2174</v>
      </c>
      <c r="D328" s="12" t="s">
        <v>2175</v>
      </c>
      <c r="E328" s="12" t="n">
        <v>58</v>
      </c>
      <c r="F328" s="12" t="n">
        <v>11</v>
      </c>
      <c r="G328" s="15" t="n">
        <v>36400</v>
      </c>
      <c r="H328" s="15" t="n">
        <v>42000</v>
      </c>
      <c r="I328" s="12" t="s">
        <v>3167</v>
      </c>
      <c r="J328" s="17" t="n">
        <v>46622</v>
      </c>
      <c r="K328" s="12" t="s">
        <v>1120</v>
      </c>
      <c r="L328" s="12" t="n">
        <v>40</v>
      </c>
      <c r="M328" s="15" t="n">
        <f aca="false">E328*G328</f>
        <v>2111200</v>
      </c>
      <c r="N328" s="15" t="n">
        <f aca="false">E328*H328</f>
        <v>2436000</v>
      </c>
      <c r="O328" s="18" t="n">
        <f aca="false">IF(H328=0,"",(H328-G328)/H328)</f>
        <v>0.133333333333333</v>
      </c>
      <c r="P328" s="12" t="n">
        <f aca="false">IF(J328="","",J328-README!$C$4)</f>
        <v>300</v>
      </c>
      <c r="Q328" s="12" t="str">
        <f aca="false">IF(E328=0,"Out of stock",IF(E328&lt;=F328,"Low stock","OK"))</f>
        <v>OK</v>
      </c>
      <c r="R328" s="12" t="str">
        <f aca="false">IF(J328="","No expiry",IF(P328&lt;0,"Expired",IF(P328&lt;=30,"Expiring &lt;=30 days","OK")))</f>
        <v>OK</v>
      </c>
      <c r="S328" s="12"/>
    </row>
    <row r="329" customFormat="false" ht="15" hidden="false" customHeight="false" outlineLevel="0" collapsed="false">
      <c r="A329" s="12" t="s">
        <v>3168</v>
      </c>
      <c r="B329" s="12" t="s">
        <v>1319</v>
      </c>
      <c r="C329" s="12" t="s">
        <v>2177</v>
      </c>
      <c r="D329" s="12" t="s">
        <v>2178</v>
      </c>
      <c r="E329" s="12" t="n">
        <v>29</v>
      </c>
      <c r="F329" s="12" t="n">
        <v>11</v>
      </c>
      <c r="G329" s="15" t="n">
        <v>12800</v>
      </c>
      <c r="H329" s="15" t="n">
        <v>15500</v>
      </c>
      <c r="I329" s="12" t="s">
        <v>3169</v>
      </c>
      <c r="J329" s="17" t="n">
        <v>46441</v>
      </c>
      <c r="K329" s="12" t="s">
        <v>1120</v>
      </c>
      <c r="L329" s="12" t="n">
        <v>20</v>
      </c>
      <c r="M329" s="15" t="n">
        <f aca="false">E329*G329</f>
        <v>371200</v>
      </c>
      <c r="N329" s="15" t="n">
        <f aca="false">E329*H329</f>
        <v>449500</v>
      </c>
      <c r="O329" s="18" t="n">
        <f aca="false">IF(H329=0,"",(H329-G329)/H329)</f>
        <v>0.174193548387097</v>
      </c>
      <c r="P329" s="12" t="n">
        <f aca="false">IF(J329="","",J329-README!$C$4)</f>
        <v>119</v>
      </c>
      <c r="Q329" s="12" t="str">
        <f aca="false">IF(E329=0,"Out of stock",IF(E329&lt;=F329,"Low stock","OK"))</f>
        <v>OK</v>
      </c>
      <c r="R329" s="12" t="str">
        <f aca="false">IF(J329="","No expiry",IF(P329&lt;0,"Expired",IF(P329&lt;=30,"Expiring &lt;=30 days","OK")))</f>
        <v>OK</v>
      </c>
      <c r="S329" s="19" t="s">
        <v>3170</v>
      </c>
    </row>
    <row r="330" customFormat="false" ht="15" hidden="false" customHeight="false" outlineLevel="0" collapsed="false">
      <c r="A330" s="12" t="s">
        <v>3171</v>
      </c>
      <c r="B330" s="12" t="s">
        <v>1319</v>
      </c>
      <c r="C330" s="12" t="s">
        <v>2180</v>
      </c>
      <c r="D330" s="12" t="s">
        <v>2181</v>
      </c>
      <c r="E330" s="12" t="n">
        <v>45</v>
      </c>
      <c r="F330" s="12" t="n">
        <v>11</v>
      </c>
      <c r="G330" s="15" t="n">
        <v>26900</v>
      </c>
      <c r="H330" s="15" t="n">
        <v>32500</v>
      </c>
      <c r="I330" s="12" t="s">
        <v>3172</v>
      </c>
      <c r="J330" s="17" t="n">
        <v>46377</v>
      </c>
      <c r="K330" s="12" t="s">
        <v>1120</v>
      </c>
      <c r="L330" s="12" t="n">
        <v>31</v>
      </c>
      <c r="M330" s="15" t="n">
        <f aca="false">E330*G330</f>
        <v>1210500</v>
      </c>
      <c r="N330" s="15" t="n">
        <f aca="false">E330*H330</f>
        <v>1462500</v>
      </c>
      <c r="O330" s="18" t="n">
        <f aca="false">IF(H330=0,"",(H330-G330)/H330)</f>
        <v>0.172307692307692</v>
      </c>
      <c r="P330" s="12" t="n">
        <f aca="false">IF(J330="","",J330-README!$C$4)</f>
        <v>55</v>
      </c>
      <c r="Q330" s="12" t="str">
        <f aca="false">IF(E330=0,"Out of stock",IF(E330&lt;=F330,"Low stock","OK"))</f>
        <v>OK</v>
      </c>
      <c r="R330" s="12" t="str">
        <f aca="false">IF(J330="","No expiry",IF(P330&lt;0,"Expired",IF(P330&lt;=30,"Expiring &lt;=30 days","OK")))</f>
        <v>OK</v>
      </c>
      <c r="S330" s="12"/>
    </row>
    <row r="331" customFormat="false" ht="15" hidden="false" customHeight="false" outlineLevel="0" collapsed="false">
      <c r="A331" s="12" t="s">
        <v>3173</v>
      </c>
      <c r="B331" s="12" t="s">
        <v>1319</v>
      </c>
      <c r="C331" s="12" t="s">
        <v>2183</v>
      </c>
      <c r="D331" s="12" t="s">
        <v>2184</v>
      </c>
      <c r="E331" s="12" t="n">
        <v>42</v>
      </c>
      <c r="F331" s="12" t="n">
        <v>11</v>
      </c>
      <c r="G331" s="15" t="n">
        <v>80100</v>
      </c>
      <c r="H331" s="15" t="n">
        <v>89000</v>
      </c>
      <c r="I331" s="12" t="s">
        <v>3174</v>
      </c>
      <c r="J331" s="17" t="n">
        <v>46433</v>
      </c>
      <c r="K331" s="12" t="s">
        <v>1120</v>
      </c>
      <c r="L331" s="12" t="n">
        <v>29</v>
      </c>
      <c r="M331" s="15" t="n">
        <f aca="false">E331*G331</f>
        <v>3364200</v>
      </c>
      <c r="N331" s="15" t="n">
        <f aca="false">E331*H331</f>
        <v>3738000</v>
      </c>
      <c r="O331" s="18" t="n">
        <f aca="false">IF(H331=0,"",(H331-G331)/H331)</f>
        <v>0.1</v>
      </c>
      <c r="P331" s="12" t="n">
        <f aca="false">IF(J331="","",J331-README!$C$4)</f>
        <v>111</v>
      </c>
      <c r="Q331" s="12" t="str">
        <f aca="false">IF(E331=0,"Out of stock",IF(E331&lt;=F331,"Low stock","OK"))</f>
        <v>OK</v>
      </c>
      <c r="R331" s="12" t="str">
        <f aca="false">IF(J331="","No expiry",IF(P331&lt;0,"Expired",IF(P331&lt;=30,"Expiring &lt;=30 days","OK")))</f>
        <v>OK</v>
      </c>
      <c r="S331" s="12"/>
    </row>
    <row r="332" customFormat="false" ht="15" hidden="false" customHeight="false" outlineLevel="0" collapsed="false">
      <c r="A332" s="12" t="s">
        <v>3175</v>
      </c>
      <c r="B332" s="12" t="s">
        <v>1319</v>
      </c>
      <c r="C332" s="12" t="s">
        <v>2186</v>
      </c>
      <c r="D332" s="12" t="s">
        <v>2187</v>
      </c>
      <c r="E332" s="12" t="n">
        <v>55</v>
      </c>
      <c r="F332" s="12" t="n">
        <v>11</v>
      </c>
      <c r="G332" s="15" t="n">
        <v>44200</v>
      </c>
      <c r="H332" s="15" t="n">
        <v>52500</v>
      </c>
      <c r="I332" s="12" t="s">
        <v>3176</v>
      </c>
      <c r="J332" s="17" t="n">
        <v>46468</v>
      </c>
      <c r="K332" s="12" t="s">
        <v>1120</v>
      </c>
      <c r="L332" s="12" t="n">
        <v>38</v>
      </c>
      <c r="M332" s="15" t="n">
        <f aca="false">E332*G332</f>
        <v>2431000</v>
      </c>
      <c r="N332" s="15" t="n">
        <f aca="false">E332*H332</f>
        <v>2887500</v>
      </c>
      <c r="O332" s="18" t="n">
        <f aca="false">IF(H332=0,"",(H332-G332)/H332)</f>
        <v>0.158095238095238</v>
      </c>
      <c r="P332" s="12" t="n">
        <f aca="false">IF(J332="","",J332-README!$C$4)</f>
        <v>146</v>
      </c>
      <c r="Q332" s="12" t="str">
        <f aca="false">IF(E332=0,"Out of stock",IF(E332&lt;=F332,"Low stock","OK"))</f>
        <v>OK</v>
      </c>
      <c r="R332" s="12" t="str">
        <f aca="false">IF(J332="","No expiry",IF(P332&lt;0,"Expired",IF(P332&lt;=30,"Expiring &lt;=30 days","OK")))</f>
        <v>OK</v>
      </c>
      <c r="S332" s="12"/>
    </row>
    <row r="333" customFormat="false" ht="15" hidden="false" customHeight="false" outlineLevel="0" collapsed="false">
      <c r="A333" s="12" t="s">
        <v>3177</v>
      </c>
      <c r="B333" s="12" t="s">
        <v>1319</v>
      </c>
      <c r="C333" s="12" t="s">
        <v>2189</v>
      </c>
      <c r="D333" s="12" t="s">
        <v>2190</v>
      </c>
      <c r="E333" s="12" t="n">
        <v>48</v>
      </c>
      <c r="F333" s="12" t="n">
        <v>11</v>
      </c>
      <c r="G333" s="15" t="n">
        <v>82200</v>
      </c>
      <c r="H333" s="15" t="n">
        <v>102000</v>
      </c>
      <c r="I333" s="12" t="s">
        <v>3178</v>
      </c>
      <c r="J333" s="17" t="n">
        <v>46488</v>
      </c>
      <c r="K333" s="12" t="s">
        <v>1120</v>
      </c>
      <c r="L333" s="12" t="n">
        <v>33</v>
      </c>
      <c r="M333" s="15" t="n">
        <f aca="false">E333*G333</f>
        <v>3945600</v>
      </c>
      <c r="N333" s="15" t="n">
        <f aca="false">E333*H333</f>
        <v>4896000</v>
      </c>
      <c r="O333" s="18" t="n">
        <f aca="false">IF(H333=0,"",(H333-G333)/H333)</f>
        <v>0.194117647058824</v>
      </c>
      <c r="P333" s="12" t="n">
        <f aca="false">IF(J333="","",J333-README!$C$4)</f>
        <v>166</v>
      </c>
      <c r="Q333" s="12" t="str">
        <f aca="false">IF(E333=0,"Out of stock",IF(E333&lt;=F333,"Low stock","OK"))</f>
        <v>OK</v>
      </c>
      <c r="R333" s="12" t="str">
        <f aca="false">IF(J333="","No expiry",IF(P333&lt;0,"Expired",IF(P333&lt;=30,"Expiring &lt;=30 days","OK")))</f>
        <v>OK</v>
      </c>
      <c r="S333" s="12"/>
    </row>
    <row r="334" customFormat="false" ht="15" hidden="false" customHeight="false" outlineLevel="0" collapsed="false">
      <c r="A334" s="12" t="s">
        <v>3179</v>
      </c>
      <c r="B334" s="12" t="s">
        <v>1319</v>
      </c>
      <c r="C334" s="12" t="s">
        <v>2192</v>
      </c>
      <c r="D334" s="12" t="s">
        <v>2193</v>
      </c>
      <c r="E334" s="12" t="n">
        <v>53</v>
      </c>
      <c r="F334" s="12" t="n">
        <v>11</v>
      </c>
      <c r="G334" s="15" t="n">
        <v>10700</v>
      </c>
      <c r="H334" s="15" t="n">
        <v>13000</v>
      </c>
      <c r="I334" s="12" t="s">
        <v>3180</v>
      </c>
      <c r="J334" s="17" t="n">
        <v>46506</v>
      </c>
      <c r="K334" s="12" t="s">
        <v>1120</v>
      </c>
      <c r="L334" s="12" t="n">
        <v>37</v>
      </c>
      <c r="M334" s="15" t="n">
        <f aca="false">E334*G334</f>
        <v>567100</v>
      </c>
      <c r="N334" s="15" t="n">
        <f aca="false">E334*H334</f>
        <v>689000</v>
      </c>
      <c r="O334" s="18" t="n">
        <f aca="false">IF(H334=0,"",(H334-G334)/H334)</f>
        <v>0.176923076923077</v>
      </c>
      <c r="P334" s="12" t="n">
        <f aca="false">IF(J334="","",J334-README!$C$4)</f>
        <v>184</v>
      </c>
      <c r="Q334" s="12" t="str">
        <f aca="false">IF(E334=0,"Out of stock",IF(E334&lt;=F334,"Low stock","OK"))</f>
        <v>OK</v>
      </c>
      <c r="R334" s="12" t="str">
        <f aca="false">IF(J334="","No expiry",IF(P334&lt;0,"Expired",IF(P334&lt;=30,"Expiring &lt;=30 days","OK")))</f>
        <v>OK</v>
      </c>
      <c r="S334" s="12"/>
    </row>
    <row r="335" customFormat="false" ht="15" hidden="false" customHeight="false" outlineLevel="0" collapsed="false">
      <c r="A335" s="12" t="s">
        <v>3181</v>
      </c>
      <c r="B335" s="12" t="s">
        <v>1319</v>
      </c>
      <c r="C335" s="12" t="s">
        <v>2195</v>
      </c>
      <c r="D335" s="12" t="s">
        <v>2196</v>
      </c>
      <c r="E335" s="12" t="n">
        <v>56</v>
      </c>
      <c r="F335" s="12" t="n">
        <v>11</v>
      </c>
      <c r="G335" s="15" t="n">
        <v>54300</v>
      </c>
      <c r="H335" s="15" t="n">
        <v>64000</v>
      </c>
      <c r="I335" s="12" t="s">
        <v>3182</v>
      </c>
      <c r="J335" s="17" t="n">
        <v>46479</v>
      </c>
      <c r="K335" s="12" t="s">
        <v>1111</v>
      </c>
      <c r="L335" s="12" t="n">
        <v>0</v>
      </c>
      <c r="M335" s="15" t="n">
        <f aca="false">E335*G335</f>
        <v>3040800</v>
      </c>
      <c r="N335" s="15" t="n">
        <f aca="false">E335*H335</f>
        <v>3584000</v>
      </c>
      <c r="O335" s="18" t="n">
        <f aca="false">IF(H335=0,"",(H335-G335)/H335)</f>
        <v>0.1515625</v>
      </c>
      <c r="P335" s="12" t="n">
        <f aca="false">IF(J335="","",J335-README!$C$4)</f>
        <v>157</v>
      </c>
      <c r="Q335" s="12" t="str">
        <f aca="false">IF(E335=0,"Out of stock",IF(E335&lt;=F335,"Low stock","OK"))</f>
        <v>OK</v>
      </c>
      <c r="R335" s="12" t="str">
        <f aca="false">IF(J335="","No expiry",IF(P335&lt;0,"Expired",IF(P335&lt;=30,"Expiring &lt;=30 days","OK")))</f>
        <v>OK</v>
      </c>
      <c r="S335" s="12"/>
    </row>
    <row r="336" customFormat="false" ht="15" hidden="false" customHeight="false" outlineLevel="0" collapsed="false">
      <c r="A336" s="12" t="s">
        <v>3183</v>
      </c>
      <c r="B336" s="12" t="s">
        <v>1319</v>
      </c>
      <c r="C336" s="12" t="s">
        <v>2198</v>
      </c>
      <c r="D336" s="12" t="s">
        <v>2199</v>
      </c>
      <c r="E336" s="12" t="n">
        <v>23</v>
      </c>
      <c r="F336" s="12" t="n">
        <v>11</v>
      </c>
      <c r="G336" s="15" t="n">
        <v>28600</v>
      </c>
      <c r="H336" s="15" t="n">
        <v>34000</v>
      </c>
      <c r="I336" s="12" t="s">
        <v>3184</v>
      </c>
      <c r="J336" s="17" t="n">
        <v>46507</v>
      </c>
      <c r="K336" s="12" t="s">
        <v>1120</v>
      </c>
      <c r="L336" s="12" t="n">
        <v>16</v>
      </c>
      <c r="M336" s="15" t="n">
        <f aca="false">E336*G336</f>
        <v>657800</v>
      </c>
      <c r="N336" s="15" t="n">
        <f aca="false">E336*H336</f>
        <v>782000</v>
      </c>
      <c r="O336" s="18" t="n">
        <f aca="false">IF(H336=0,"",(H336-G336)/H336)</f>
        <v>0.158823529411765</v>
      </c>
      <c r="P336" s="12" t="n">
        <f aca="false">IF(J336="","",J336-README!$C$4)</f>
        <v>185</v>
      </c>
      <c r="Q336" s="12" t="str">
        <f aca="false">IF(E336=0,"Out of stock",IF(E336&lt;=F336,"Low stock","OK"))</f>
        <v>OK</v>
      </c>
      <c r="R336" s="12" t="str">
        <f aca="false">IF(J336="","No expiry",IF(P336&lt;0,"Expired",IF(P336&lt;=30,"Expiring &lt;=30 days","OK")))</f>
        <v>OK</v>
      </c>
      <c r="S336" s="12"/>
    </row>
    <row r="337" customFormat="false" ht="15" hidden="false" customHeight="false" outlineLevel="0" collapsed="false">
      <c r="A337" s="12" t="s">
        <v>3185</v>
      </c>
      <c r="B337" s="12" t="s">
        <v>1319</v>
      </c>
      <c r="C337" s="12" t="s">
        <v>2201</v>
      </c>
      <c r="D337" s="12" t="s">
        <v>2203</v>
      </c>
      <c r="E337" s="12" t="n">
        <v>28</v>
      </c>
      <c r="F337" s="12" t="n">
        <v>11</v>
      </c>
      <c r="G337" s="15" t="n">
        <v>6800</v>
      </c>
      <c r="H337" s="15" t="n">
        <v>8400</v>
      </c>
      <c r="I337" s="12" t="s">
        <v>3186</v>
      </c>
      <c r="J337" s="17" t="n">
        <v>46424</v>
      </c>
      <c r="K337" s="12" t="s">
        <v>1120</v>
      </c>
      <c r="L337" s="12" t="n">
        <v>19</v>
      </c>
      <c r="M337" s="15" t="n">
        <f aca="false">E337*G337</f>
        <v>190400</v>
      </c>
      <c r="N337" s="15" t="n">
        <f aca="false">E337*H337</f>
        <v>235200</v>
      </c>
      <c r="O337" s="18" t="n">
        <f aca="false">IF(H337=0,"",(H337-G337)/H337)</f>
        <v>0.19047619047619</v>
      </c>
      <c r="P337" s="12" t="n">
        <f aca="false">IF(J337="","",J337-README!$C$4)</f>
        <v>102</v>
      </c>
      <c r="Q337" s="12" t="str">
        <f aca="false">IF(E337=0,"Out of stock",IF(E337&lt;=F337,"Low stock","OK"))</f>
        <v>OK</v>
      </c>
      <c r="R337" s="12" t="str">
        <f aca="false">IF(J337="","No expiry",IF(P337&lt;0,"Expired",IF(P337&lt;=30,"Expiring &lt;=30 days","OK")))</f>
        <v>OK</v>
      </c>
      <c r="S337" s="12"/>
    </row>
    <row r="338" customFormat="false" ht="15" hidden="false" customHeight="false" outlineLevel="0" collapsed="false">
      <c r="A338" s="12" t="s">
        <v>3187</v>
      </c>
      <c r="B338" s="12" t="s">
        <v>1319</v>
      </c>
      <c r="C338" s="12" t="s">
        <v>2205</v>
      </c>
      <c r="D338" s="12" t="s">
        <v>2206</v>
      </c>
      <c r="E338" s="12" t="n">
        <v>33</v>
      </c>
      <c r="F338" s="12" t="n">
        <v>11</v>
      </c>
      <c r="G338" s="15" t="n">
        <v>10400</v>
      </c>
      <c r="H338" s="15" t="n">
        <v>12500</v>
      </c>
      <c r="I338" s="12" t="s">
        <v>3188</v>
      </c>
      <c r="J338" s="17" t="n">
        <v>46399</v>
      </c>
      <c r="K338" s="12" t="s">
        <v>1120</v>
      </c>
      <c r="L338" s="12" t="n">
        <v>23</v>
      </c>
      <c r="M338" s="15" t="n">
        <f aca="false">E338*G338</f>
        <v>343200</v>
      </c>
      <c r="N338" s="15" t="n">
        <f aca="false">E338*H338</f>
        <v>412500</v>
      </c>
      <c r="O338" s="18" t="n">
        <f aca="false">IF(H338=0,"",(H338-G338)/H338)</f>
        <v>0.168</v>
      </c>
      <c r="P338" s="12" t="n">
        <f aca="false">IF(J338="","",J338-README!$C$4)</f>
        <v>77</v>
      </c>
      <c r="Q338" s="12" t="str">
        <f aca="false">IF(E338=0,"Out of stock",IF(E338&lt;=F338,"Low stock","OK"))</f>
        <v>OK</v>
      </c>
      <c r="R338" s="12" t="str">
        <f aca="false">IF(J338="","No expiry",IF(P338&lt;0,"Expired",IF(P338&lt;=30,"Expiring &lt;=30 days","OK")))</f>
        <v>OK</v>
      </c>
      <c r="S338" s="12"/>
    </row>
    <row r="339" customFormat="false" ht="15" hidden="false" customHeight="false" outlineLevel="0" collapsed="false">
      <c r="A339" s="12" t="s">
        <v>3189</v>
      </c>
      <c r="B339" s="12" t="s">
        <v>1319</v>
      </c>
      <c r="C339" s="12" t="s">
        <v>2212</v>
      </c>
      <c r="D339" s="12" t="s">
        <v>2214</v>
      </c>
      <c r="E339" s="12" t="n">
        <v>105</v>
      </c>
      <c r="F339" s="12" t="n">
        <v>28</v>
      </c>
      <c r="G339" s="15" t="n">
        <v>3600</v>
      </c>
      <c r="H339" s="15" t="n">
        <v>4200</v>
      </c>
      <c r="I339" s="12" t="s">
        <v>3190</v>
      </c>
      <c r="J339" s="17" t="n">
        <v>46481</v>
      </c>
      <c r="K339" s="12" t="s">
        <v>1120</v>
      </c>
      <c r="L339" s="12" t="n">
        <v>73</v>
      </c>
      <c r="M339" s="15" t="n">
        <f aca="false">E339*G339</f>
        <v>378000</v>
      </c>
      <c r="N339" s="15" t="n">
        <f aca="false">E339*H339</f>
        <v>441000</v>
      </c>
      <c r="O339" s="18" t="n">
        <f aca="false">IF(H339=0,"",(H339-G339)/H339)</f>
        <v>0.142857142857143</v>
      </c>
      <c r="P339" s="12" t="n">
        <f aca="false">IF(J339="","",J339-README!$C$4)</f>
        <v>159</v>
      </c>
      <c r="Q339" s="12" t="str">
        <f aca="false">IF(E339=0,"Out of stock",IF(E339&lt;=F339,"Low stock","OK"))</f>
        <v>OK</v>
      </c>
      <c r="R339" s="12" t="str">
        <f aca="false">IF(J339="","No expiry",IF(P339&lt;0,"Expired",IF(P339&lt;=30,"Expiring &lt;=30 days","OK")))</f>
        <v>OK</v>
      </c>
      <c r="S339" s="12"/>
    </row>
    <row r="340" customFormat="false" ht="15" hidden="false" customHeight="false" outlineLevel="0" collapsed="false">
      <c r="A340" s="12" t="s">
        <v>3191</v>
      </c>
      <c r="B340" s="12" t="s">
        <v>1319</v>
      </c>
      <c r="C340" s="12" t="s">
        <v>2216</v>
      </c>
      <c r="D340" s="12" t="s">
        <v>2218</v>
      </c>
      <c r="E340" s="12" t="n">
        <v>156</v>
      </c>
      <c r="F340" s="12" t="n">
        <v>28</v>
      </c>
      <c r="G340" s="15" t="n">
        <v>8100</v>
      </c>
      <c r="H340" s="15" t="n">
        <v>9400</v>
      </c>
      <c r="I340" s="12" t="s">
        <v>3192</v>
      </c>
      <c r="J340" s="17" t="n">
        <v>46719</v>
      </c>
      <c r="K340" s="12" t="s">
        <v>1120</v>
      </c>
      <c r="L340" s="12" t="n">
        <v>109</v>
      </c>
      <c r="M340" s="15" t="n">
        <f aca="false">E340*G340</f>
        <v>1263600</v>
      </c>
      <c r="N340" s="15" t="n">
        <f aca="false">E340*H340</f>
        <v>1466400</v>
      </c>
      <c r="O340" s="18" t="n">
        <f aca="false">IF(H340=0,"",(H340-G340)/H340)</f>
        <v>0.138297872340426</v>
      </c>
      <c r="P340" s="12" t="n">
        <f aca="false">IF(J340="","",J340-README!$C$4)</f>
        <v>397</v>
      </c>
      <c r="Q340" s="12" t="str">
        <f aca="false">IF(E340=0,"Out of stock",IF(E340&lt;=F340,"Low stock","OK"))</f>
        <v>OK</v>
      </c>
      <c r="R340" s="12" t="str">
        <f aca="false">IF(J340="","No expiry",IF(P340&lt;0,"Expired",IF(P340&lt;=30,"Expiring &lt;=30 days","OK")))</f>
        <v>OK</v>
      </c>
      <c r="S340" s="12"/>
    </row>
    <row r="341" customFormat="false" ht="15" hidden="false" customHeight="false" outlineLevel="0" collapsed="false">
      <c r="A341" s="12" t="s">
        <v>3193</v>
      </c>
      <c r="B341" s="12" t="s">
        <v>1319</v>
      </c>
      <c r="C341" s="12" t="s">
        <v>2208</v>
      </c>
      <c r="D341" s="12" t="s">
        <v>2210</v>
      </c>
      <c r="E341" s="12" t="n">
        <v>193</v>
      </c>
      <c r="F341" s="12" t="n">
        <v>28</v>
      </c>
      <c r="G341" s="15" t="n">
        <v>1300</v>
      </c>
      <c r="H341" s="15" t="n">
        <v>1600</v>
      </c>
      <c r="I341" s="12" t="s">
        <v>3194</v>
      </c>
      <c r="J341" s="17" t="n">
        <v>46497</v>
      </c>
      <c r="K341" s="12" t="s">
        <v>1120</v>
      </c>
      <c r="L341" s="12" t="n">
        <v>135</v>
      </c>
      <c r="M341" s="15" t="n">
        <f aca="false">E341*G341</f>
        <v>250900</v>
      </c>
      <c r="N341" s="15" t="n">
        <f aca="false">E341*H341</f>
        <v>308800</v>
      </c>
      <c r="O341" s="18" t="n">
        <f aca="false">IF(H341=0,"",(H341-G341)/H341)</f>
        <v>0.1875</v>
      </c>
      <c r="P341" s="12" t="n">
        <f aca="false">IF(J341="","",J341-README!$C$4)</f>
        <v>175</v>
      </c>
      <c r="Q341" s="12" t="str">
        <f aca="false">IF(E341=0,"Out of stock",IF(E341&lt;=F341,"Low stock","OK"))</f>
        <v>OK</v>
      </c>
      <c r="R341" s="12" t="str">
        <f aca="false">IF(J341="","No expiry",IF(P341&lt;0,"Expired",IF(P341&lt;=30,"Expiring &lt;=30 days","OK")))</f>
        <v>OK</v>
      </c>
      <c r="S341" s="12"/>
    </row>
    <row r="342" customFormat="false" ht="15" hidden="false" customHeight="false" outlineLevel="0" collapsed="false">
      <c r="A342" s="12" t="s">
        <v>3195</v>
      </c>
      <c r="B342" s="12" t="s">
        <v>1319</v>
      </c>
      <c r="C342" s="12" t="s">
        <v>2223</v>
      </c>
      <c r="D342" s="12" t="s">
        <v>2224</v>
      </c>
      <c r="E342" s="12" t="n">
        <v>131</v>
      </c>
      <c r="F342" s="12" t="n">
        <v>28</v>
      </c>
      <c r="G342" s="15" t="n">
        <v>4200</v>
      </c>
      <c r="H342" s="15" t="n">
        <v>4700</v>
      </c>
      <c r="I342" s="12" t="s">
        <v>3196</v>
      </c>
      <c r="J342" s="17" t="n">
        <v>46865</v>
      </c>
      <c r="K342" s="12" t="s">
        <v>1120</v>
      </c>
      <c r="L342" s="12" t="n">
        <v>91</v>
      </c>
      <c r="M342" s="15" t="n">
        <f aca="false">E342*G342</f>
        <v>550200</v>
      </c>
      <c r="N342" s="15" t="n">
        <f aca="false">E342*H342</f>
        <v>615700</v>
      </c>
      <c r="O342" s="18" t="n">
        <f aca="false">IF(H342=0,"",(H342-G342)/H342)</f>
        <v>0.106382978723404</v>
      </c>
      <c r="P342" s="12" t="n">
        <f aca="false">IF(J342="","",J342-README!$C$4)</f>
        <v>543</v>
      </c>
      <c r="Q342" s="12" t="str">
        <f aca="false">IF(E342=0,"Out of stock",IF(E342&lt;=F342,"Low stock","OK"))</f>
        <v>OK</v>
      </c>
      <c r="R342" s="12" t="str">
        <f aca="false">IF(J342="","No expiry",IF(P342&lt;0,"Expired",IF(P342&lt;=30,"Expiring &lt;=30 days","OK")))</f>
        <v>OK</v>
      </c>
      <c r="S342" s="12"/>
    </row>
    <row r="343" customFormat="false" ht="15" hidden="false" customHeight="false" outlineLevel="0" collapsed="false">
      <c r="A343" s="12" t="s">
        <v>3197</v>
      </c>
      <c r="B343" s="12" t="s">
        <v>1319</v>
      </c>
      <c r="C343" s="12" t="s">
        <v>2232</v>
      </c>
      <c r="D343" s="12" t="s">
        <v>2234</v>
      </c>
      <c r="E343" s="12" t="n">
        <v>9</v>
      </c>
      <c r="F343" s="12" t="n">
        <v>3</v>
      </c>
      <c r="G343" s="15" t="n">
        <v>27800</v>
      </c>
      <c r="H343" s="15" t="n">
        <v>31500</v>
      </c>
      <c r="I343" s="12" t="s">
        <v>3198</v>
      </c>
      <c r="J343" s="17" t="n">
        <v>46937</v>
      </c>
      <c r="K343" s="12" t="s">
        <v>1120</v>
      </c>
      <c r="L343" s="12" t="n">
        <v>6</v>
      </c>
      <c r="M343" s="15" t="n">
        <f aca="false">E343*G343</f>
        <v>250200</v>
      </c>
      <c r="N343" s="15" t="n">
        <f aca="false">E343*H343</f>
        <v>283500</v>
      </c>
      <c r="O343" s="18" t="n">
        <f aca="false">IF(H343=0,"",(H343-G343)/H343)</f>
        <v>0.117460317460317</v>
      </c>
      <c r="P343" s="12" t="n">
        <f aca="false">IF(J343="","",J343-README!$C$4)</f>
        <v>615</v>
      </c>
      <c r="Q343" s="12" t="str">
        <f aca="false">IF(E343=0,"Out of stock",IF(E343&lt;=F343,"Low stock","OK"))</f>
        <v>OK</v>
      </c>
      <c r="R343" s="12" t="str">
        <f aca="false">IF(J343="","No expiry",IF(P343&lt;0,"Expired",IF(P343&lt;=30,"Expiring &lt;=30 days","OK")))</f>
        <v>OK</v>
      </c>
      <c r="S343" s="12"/>
    </row>
    <row r="344" customFormat="false" ht="15" hidden="false" customHeight="false" outlineLevel="0" collapsed="false">
      <c r="A344" s="12" t="s">
        <v>3199</v>
      </c>
      <c r="B344" s="12" t="s">
        <v>1319</v>
      </c>
      <c r="C344" s="12" t="s">
        <v>2240</v>
      </c>
      <c r="D344" s="12" t="s">
        <v>2242</v>
      </c>
      <c r="E344" s="12" t="n">
        <v>21</v>
      </c>
      <c r="F344" s="12" t="n">
        <v>8</v>
      </c>
      <c r="G344" s="15" t="n">
        <v>14300</v>
      </c>
      <c r="H344" s="15" t="n">
        <v>16000</v>
      </c>
      <c r="I344" s="12" t="s">
        <v>3200</v>
      </c>
      <c r="J344" s="17" t="n">
        <v>46891</v>
      </c>
      <c r="K344" s="12" t="s">
        <v>1120</v>
      </c>
      <c r="L344" s="12" t="n">
        <v>14</v>
      </c>
      <c r="M344" s="15" t="n">
        <f aca="false">E344*G344</f>
        <v>300300</v>
      </c>
      <c r="N344" s="15" t="n">
        <f aca="false">E344*H344</f>
        <v>336000</v>
      </c>
      <c r="O344" s="18" t="n">
        <f aca="false">IF(H344=0,"",(H344-G344)/H344)</f>
        <v>0.10625</v>
      </c>
      <c r="P344" s="12" t="n">
        <f aca="false">IF(J344="","",J344-README!$C$4)</f>
        <v>569</v>
      </c>
      <c r="Q344" s="12" t="str">
        <f aca="false">IF(E344=0,"Out of stock",IF(E344&lt;=F344,"Low stock","OK"))</f>
        <v>OK</v>
      </c>
      <c r="R344" s="12" t="str">
        <f aca="false">IF(J344="","No expiry",IF(P344&lt;0,"Expired",IF(P344&lt;=30,"Expiring &lt;=30 days","OK")))</f>
        <v>OK</v>
      </c>
      <c r="S344" s="12"/>
    </row>
    <row r="345" customFormat="false" ht="15" hidden="false" customHeight="false" outlineLevel="0" collapsed="false">
      <c r="A345" s="12" t="s">
        <v>3201</v>
      </c>
      <c r="B345" s="12" t="s">
        <v>1319</v>
      </c>
      <c r="C345" s="12" t="s">
        <v>2251</v>
      </c>
      <c r="D345" s="12" t="s">
        <v>2252</v>
      </c>
      <c r="E345" s="12" t="n">
        <v>116</v>
      </c>
      <c r="F345" s="12" t="n">
        <v>28</v>
      </c>
      <c r="G345" s="15" t="n">
        <v>3100</v>
      </c>
      <c r="H345" s="15" t="n">
        <v>3700</v>
      </c>
      <c r="I345" s="12" t="s">
        <v>3202</v>
      </c>
      <c r="J345" s="17" t="n">
        <v>46452</v>
      </c>
      <c r="K345" s="12" t="s">
        <v>1120</v>
      </c>
      <c r="L345" s="12" t="n">
        <v>81</v>
      </c>
      <c r="M345" s="15" t="n">
        <f aca="false">E345*G345</f>
        <v>359600</v>
      </c>
      <c r="N345" s="15" t="n">
        <f aca="false">E345*H345</f>
        <v>429200</v>
      </c>
      <c r="O345" s="18" t="n">
        <f aca="false">IF(H345=0,"",(H345-G345)/H345)</f>
        <v>0.162162162162162</v>
      </c>
      <c r="P345" s="12" t="n">
        <f aca="false">IF(J345="","",J345-README!$C$4)</f>
        <v>130</v>
      </c>
      <c r="Q345" s="12" t="str">
        <f aca="false">IF(E345=0,"Out of stock",IF(E345&lt;=F345,"Low stock","OK"))</f>
        <v>OK</v>
      </c>
      <c r="R345" s="12" t="str">
        <f aca="false">IF(J345="","No expiry",IF(P345&lt;0,"Expired",IF(P345&lt;=30,"Expiring &lt;=30 days","OK")))</f>
        <v>OK</v>
      </c>
      <c r="S345" s="12"/>
    </row>
    <row r="346" customFormat="false" ht="15" hidden="false" customHeight="false" outlineLevel="0" collapsed="false">
      <c r="A346" s="12" t="s">
        <v>3203</v>
      </c>
      <c r="B346" s="12" t="s">
        <v>1319</v>
      </c>
      <c r="C346" s="12" t="s">
        <v>2254</v>
      </c>
      <c r="D346" s="12" t="s">
        <v>2255</v>
      </c>
      <c r="E346" s="12" t="n">
        <v>118</v>
      </c>
      <c r="F346" s="12" t="n">
        <v>28</v>
      </c>
      <c r="G346" s="15" t="n">
        <v>7500</v>
      </c>
      <c r="H346" s="15" t="n">
        <v>8400</v>
      </c>
      <c r="I346" s="12" t="s">
        <v>3204</v>
      </c>
      <c r="J346" s="17" t="n">
        <v>46597</v>
      </c>
      <c r="K346" s="12" t="s">
        <v>1120</v>
      </c>
      <c r="L346" s="12" t="n">
        <v>82</v>
      </c>
      <c r="M346" s="15" t="n">
        <f aca="false">E346*G346</f>
        <v>885000</v>
      </c>
      <c r="N346" s="15" t="n">
        <f aca="false">E346*H346</f>
        <v>991200</v>
      </c>
      <c r="O346" s="18" t="n">
        <f aca="false">IF(H346=0,"",(H346-G346)/H346)</f>
        <v>0.107142857142857</v>
      </c>
      <c r="P346" s="12" t="n">
        <f aca="false">IF(J346="","",J346-README!$C$4)</f>
        <v>275</v>
      </c>
      <c r="Q346" s="12" t="str">
        <f aca="false">IF(E346=0,"Out of stock",IF(E346&lt;=F346,"Low stock","OK"))</f>
        <v>OK</v>
      </c>
      <c r="R346" s="12" t="str">
        <f aca="false">IF(J346="","No expiry",IF(P346&lt;0,"Expired",IF(P346&lt;=30,"Expiring &lt;=30 days","OK")))</f>
        <v>OK</v>
      </c>
      <c r="S346" s="12"/>
    </row>
    <row r="347" customFormat="false" ht="15" hidden="false" customHeight="false" outlineLevel="0" collapsed="false">
      <c r="A347" s="12" t="s">
        <v>3205</v>
      </c>
      <c r="B347" s="12" t="s">
        <v>1319</v>
      </c>
      <c r="C347" s="12" t="s">
        <v>2248</v>
      </c>
      <c r="D347" s="12" t="s">
        <v>2249</v>
      </c>
      <c r="E347" s="12" t="n">
        <v>169</v>
      </c>
      <c r="F347" s="12" t="n">
        <v>28</v>
      </c>
      <c r="G347" s="15" t="n">
        <v>1100</v>
      </c>
      <c r="H347" s="15" t="n">
        <v>1300</v>
      </c>
      <c r="I347" s="12" t="s">
        <v>3206</v>
      </c>
      <c r="J347" s="17" t="n">
        <v>46626</v>
      </c>
      <c r="K347" s="12" t="s">
        <v>1111</v>
      </c>
      <c r="L347" s="12" t="n">
        <v>0</v>
      </c>
      <c r="M347" s="15" t="n">
        <f aca="false">E347*G347</f>
        <v>185900</v>
      </c>
      <c r="N347" s="15" t="n">
        <f aca="false">E347*H347</f>
        <v>219700</v>
      </c>
      <c r="O347" s="18" t="n">
        <f aca="false">IF(H347=0,"",(H347-G347)/H347)</f>
        <v>0.153846153846154</v>
      </c>
      <c r="P347" s="12" t="n">
        <f aca="false">IF(J347="","",J347-README!$C$4)</f>
        <v>304</v>
      </c>
      <c r="Q347" s="12" t="str">
        <f aca="false">IF(E347=0,"Out of stock",IF(E347&lt;=F347,"Low stock","OK"))</f>
        <v>OK</v>
      </c>
      <c r="R347" s="12" t="str">
        <f aca="false">IF(J347="","No expiry",IF(P347&lt;0,"Expired",IF(P347&lt;=30,"Expiring &lt;=30 days","OK")))</f>
        <v>OK</v>
      </c>
      <c r="S347" s="12"/>
    </row>
    <row r="348" customFormat="false" ht="15" hidden="false" customHeight="false" outlineLevel="0" collapsed="false">
      <c r="A348" s="12" t="s">
        <v>3207</v>
      </c>
      <c r="B348" s="12" t="s">
        <v>1319</v>
      </c>
      <c r="C348" s="12" t="s">
        <v>2257</v>
      </c>
      <c r="D348" s="12" t="s">
        <v>2258</v>
      </c>
      <c r="E348" s="12" t="n">
        <v>165</v>
      </c>
      <c r="F348" s="12" t="n">
        <v>28</v>
      </c>
      <c r="G348" s="15" t="n">
        <v>2800</v>
      </c>
      <c r="H348" s="15" t="n">
        <v>3200</v>
      </c>
      <c r="I348" s="12" t="s">
        <v>3208</v>
      </c>
      <c r="J348" s="17" t="n">
        <v>46521</v>
      </c>
      <c r="K348" s="12" t="s">
        <v>1120</v>
      </c>
      <c r="L348" s="12" t="n">
        <v>115</v>
      </c>
      <c r="M348" s="15" t="n">
        <f aca="false">E348*G348</f>
        <v>462000</v>
      </c>
      <c r="N348" s="15" t="n">
        <f aca="false">E348*H348</f>
        <v>528000</v>
      </c>
      <c r="O348" s="18" t="n">
        <f aca="false">IF(H348=0,"",(H348-G348)/H348)</f>
        <v>0.125</v>
      </c>
      <c r="P348" s="12" t="n">
        <f aca="false">IF(J348="","",J348-README!$C$4)</f>
        <v>199</v>
      </c>
      <c r="Q348" s="12" t="str">
        <f aca="false">IF(E348=0,"Out of stock",IF(E348&lt;=F348,"Low stock","OK"))</f>
        <v>OK</v>
      </c>
      <c r="R348" s="12" t="str">
        <f aca="false">IF(J348="","No expiry",IF(P348&lt;0,"Expired",IF(P348&lt;=30,"Expiring &lt;=30 days","OK")))</f>
        <v>OK</v>
      </c>
      <c r="S348" s="12"/>
    </row>
    <row r="349" customFormat="false" ht="15" hidden="false" customHeight="false" outlineLevel="0" collapsed="false">
      <c r="A349" s="12" t="s">
        <v>3209</v>
      </c>
      <c r="B349" s="12" t="s">
        <v>1319</v>
      </c>
      <c r="C349" s="12" t="s">
        <v>2260</v>
      </c>
      <c r="D349" s="12" t="s">
        <v>2262</v>
      </c>
      <c r="E349" s="12" t="n">
        <v>5</v>
      </c>
      <c r="F349" s="12" t="n">
        <v>4</v>
      </c>
      <c r="G349" s="15" t="n">
        <v>6600</v>
      </c>
      <c r="H349" s="15" t="n">
        <v>7400</v>
      </c>
      <c r="I349" s="12" t="s">
        <v>3210</v>
      </c>
      <c r="J349" s="17" t="n">
        <v>46895</v>
      </c>
      <c r="K349" s="12" t="s">
        <v>1120</v>
      </c>
      <c r="L349" s="12" t="n">
        <v>3</v>
      </c>
      <c r="M349" s="15" t="n">
        <f aca="false">E349*G349</f>
        <v>33000</v>
      </c>
      <c r="N349" s="15" t="n">
        <f aca="false">E349*H349</f>
        <v>37000</v>
      </c>
      <c r="O349" s="18" t="n">
        <f aca="false">IF(H349=0,"",(H349-G349)/H349)</f>
        <v>0.108108108108108</v>
      </c>
      <c r="P349" s="12" t="n">
        <f aca="false">IF(J349="","",J349-README!$C$4)</f>
        <v>573</v>
      </c>
      <c r="Q349" s="12" t="str">
        <f aca="false">IF(E349=0,"Out of stock",IF(E349&lt;=F349,"Low stock","OK"))</f>
        <v>OK</v>
      </c>
      <c r="R349" s="12" t="str">
        <f aca="false">IF(J349="","No expiry",IF(P349&lt;0,"Expired",IF(P349&lt;=30,"Expiring &lt;=30 days","OK")))</f>
        <v>OK</v>
      </c>
      <c r="S349" s="12"/>
    </row>
    <row r="350" customFormat="false" ht="15" hidden="false" customHeight="false" outlineLevel="0" collapsed="false">
      <c r="A350" s="12" t="s">
        <v>3211</v>
      </c>
      <c r="B350" s="12" t="s">
        <v>1319</v>
      </c>
      <c r="C350" s="12" t="s">
        <v>2264</v>
      </c>
      <c r="D350" s="12" t="s">
        <v>2266</v>
      </c>
      <c r="E350" s="12" t="n">
        <v>11</v>
      </c>
      <c r="F350" s="12" t="n">
        <v>4</v>
      </c>
      <c r="G350" s="15" t="n">
        <v>13400</v>
      </c>
      <c r="H350" s="15" t="n">
        <v>16000</v>
      </c>
      <c r="I350" s="12" t="s">
        <v>3212</v>
      </c>
      <c r="J350" s="17" t="n">
        <v>46747</v>
      </c>
      <c r="K350" s="12" t="s">
        <v>1120</v>
      </c>
      <c r="L350" s="12" t="n">
        <v>7</v>
      </c>
      <c r="M350" s="15" t="n">
        <f aca="false">E350*G350</f>
        <v>147400</v>
      </c>
      <c r="N350" s="15" t="n">
        <f aca="false">E350*H350</f>
        <v>176000</v>
      </c>
      <c r="O350" s="18" t="n">
        <f aca="false">IF(H350=0,"",(H350-G350)/H350)</f>
        <v>0.1625</v>
      </c>
      <c r="P350" s="12" t="n">
        <f aca="false">IF(J350="","",J350-README!$C$4)</f>
        <v>425</v>
      </c>
      <c r="Q350" s="12" t="str">
        <f aca="false">IF(E350=0,"Out of stock",IF(E350&lt;=F350,"Low stock","OK"))</f>
        <v>OK</v>
      </c>
      <c r="R350" s="12" t="str">
        <f aca="false">IF(J350="","No expiry",IF(P350&lt;0,"Expired",IF(P350&lt;=30,"Expiring &lt;=30 days","OK")))</f>
        <v>OK</v>
      </c>
      <c r="S350" s="12"/>
    </row>
    <row r="351" customFormat="false" ht="15" hidden="false" customHeight="false" outlineLevel="0" collapsed="false">
      <c r="A351" s="12" t="s">
        <v>3213</v>
      </c>
      <c r="B351" s="12" t="s">
        <v>1319</v>
      </c>
      <c r="C351" s="12" t="s">
        <v>2268</v>
      </c>
      <c r="D351" s="12" t="s">
        <v>2270</v>
      </c>
      <c r="E351" s="12" t="n">
        <v>34</v>
      </c>
      <c r="F351" s="12" t="n">
        <v>8</v>
      </c>
      <c r="G351" s="15" t="n">
        <v>10100</v>
      </c>
      <c r="H351" s="15" t="n">
        <v>12500</v>
      </c>
      <c r="I351" s="12" t="s">
        <v>3214</v>
      </c>
      <c r="J351" s="17" t="n">
        <v>46611</v>
      </c>
      <c r="K351" s="12" t="s">
        <v>1120</v>
      </c>
      <c r="L351" s="12" t="n">
        <v>23</v>
      </c>
      <c r="M351" s="15" t="n">
        <f aca="false">E351*G351</f>
        <v>343400</v>
      </c>
      <c r="N351" s="15" t="n">
        <f aca="false">E351*H351</f>
        <v>425000</v>
      </c>
      <c r="O351" s="18" t="n">
        <f aca="false">IF(H351=0,"",(H351-G351)/H351)</f>
        <v>0.192</v>
      </c>
      <c r="P351" s="12" t="n">
        <f aca="false">IF(J351="","",J351-README!$C$4)</f>
        <v>289</v>
      </c>
      <c r="Q351" s="12" t="str">
        <f aca="false">IF(E351=0,"Out of stock",IF(E351&lt;=F351,"Low stock","OK"))</f>
        <v>OK</v>
      </c>
      <c r="R351" s="12" t="str">
        <f aca="false">IF(J351="","No expiry",IF(P351&lt;0,"Expired",IF(P351&lt;=30,"Expiring &lt;=30 days","OK")))</f>
        <v>OK</v>
      </c>
      <c r="S351" s="12"/>
    </row>
    <row r="352" customFormat="false" ht="15" hidden="false" customHeight="false" outlineLevel="0" collapsed="false">
      <c r="A352" s="12" t="s">
        <v>3215</v>
      </c>
      <c r="B352" s="12" t="s">
        <v>1319</v>
      </c>
      <c r="C352" s="12" t="s">
        <v>2276</v>
      </c>
      <c r="D352" s="12" t="s">
        <v>2277</v>
      </c>
      <c r="E352" s="12" t="n">
        <v>102</v>
      </c>
      <c r="F352" s="12" t="n">
        <v>28</v>
      </c>
      <c r="G352" s="15" t="n">
        <v>5300</v>
      </c>
      <c r="H352" s="15" t="n">
        <v>6300</v>
      </c>
      <c r="I352" s="12" t="s">
        <v>3216</v>
      </c>
      <c r="J352" s="17" t="n">
        <v>46661</v>
      </c>
      <c r="K352" s="12" t="s">
        <v>1120</v>
      </c>
      <c r="L352" s="12" t="n">
        <v>71</v>
      </c>
      <c r="M352" s="15" t="n">
        <f aca="false">E352*G352</f>
        <v>540600</v>
      </c>
      <c r="N352" s="15" t="n">
        <f aca="false">E352*H352</f>
        <v>642600</v>
      </c>
      <c r="O352" s="18" t="n">
        <f aca="false">IF(H352=0,"",(H352-G352)/H352)</f>
        <v>0.158730158730159</v>
      </c>
      <c r="P352" s="12" t="n">
        <f aca="false">IF(J352="","",J352-README!$C$4)</f>
        <v>339</v>
      </c>
      <c r="Q352" s="12" t="str">
        <f aca="false">IF(E352=0,"Out of stock",IF(E352&lt;=F352,"Low stock","OK"))</f>
        <v>OK</v>
      </c>
      <c r="R352" s="12" t="str">
        <f aca="false">IF(J352="","No expiry",IF(P352&lt;0,"Expired",IF(P352&lt;=30,"Expiring &lt;=30 days","OK")))</f>
        <v>OK</v>
      </c>
      <c r="S352" s="12"/>
    </row>
    <row r="353" customFormat="false" ht="15" hidden="false" customHeight="false" outlineLevel="0" collapsed="false">
      <c r="A353" s="12" t="s">
        <v>3217</v>
      </c>
      <c r="B353" s="12" t="s">
        <v>1319</v>
      </c>
      <c r="C353" s="12" t="s">
        <v>2279</v>
      </c>
      <c r="D353" s="12" t="s">
        <v>2281</v>
      </c>
      <c r="E353" s="12" t="n">
        <v>30</v>
      </c>
      <c r="F353" s="12" t="n">
        <v>8</v>
      </c>
      <c r="G353" s="15" t="n">
        <v>20900</v>
      </c>
      <c r="H353" s="15" t="n">
        <v>26000</v>
      </c>
      <c r="I353" s="12" t="s">
        <v>3218</v>
      </c>
      <c r="J353" s="17" t="n">
        <v>46599</v>
      </c>
      <c r="K353" s="12" t="s">
        <v>1120</v>
      </c>
      <c r="L353" s="12" t="n">
        <v>21</v>
      </c>
      <c r="M353" s="15" t="n">
        <f aca="false">E353*G353</f>
        <v>627000</v>
      </c>
      <c r="N353" s="15" t="n">
        <f aca="false">E353*H353</f>
        <v>780000</v>
      </c>
      <c r="O353" s="18" t="n">
        <f aca="false">IF(H353=0,"",(H353-G353)/H353)</f>
        <v>0.196153846153846</v>
      </c>
      <c r="P353" s="12" t="n">
        <f aca="false">IF(J353="","",J353-README!$C$4)</f>
        <v>277</v>
      </c>
      <c r="Q353" s="12" t="str">
        <f aca="false">IF(E353=0,"Out of stock",IF(E353&lt;=F353,"Low stock","OK"))</f>
        <v>OK</v>
      </c>
      <c r="R353" s="12" t="str">
        <f aca="false">IF(J353="","No expiry",IF(P353&lt;0,"Expired",IF(P353&lt;=30,"Expiring &lt;=30 days","OK")))</f>
        <v>OK</v>
      </c>
      <c r="S353" s="12"/>
    </row>
    <row r="354" customFormat="false" ht="15" hidden="false" customHeight="false" outlineLevel="0" collapsed="false">
      <c r="A354" s="12" t="s">
        <v>3219</v>
      </c>
      <c r="B354" s="12" t="s">
        <v>1319</v>
      </c>
      <c r="C354" s="12" t="s">
        <v>2283</v>
      </c>
      <c r="D354" s="12" t="s">
        <v>2284</v>
      </c>
      <c r="E354" s="12" t="n">
        <v>43</v>
      </c>
      <c r="F354" s="12" t="n">
        <v>8</v>
      </c>
      <c r="G354" s="15" t="n">
        <v>32600</v>
      </c>
      <c r="H354" s="15" t="n">
        <v>37000</v>
      </c>
      <c r="I354" s="12" t="s">
        <v>3220</v>
      </c>
      <c r="J354" s="17" t="n">
        <v>46867</v>
      </c>
      <c r="K354" s="12" t="s">
        <v>1120</v>
      </c>
      <c r="L354" s="12" t="n">
        <v>30</v>
      </c>
      <c r="M354" s="15" t="n">
        <f aca="false">E354*G354</f>
        <v>1401800</v>
      </c>
      <c r="N354" s="15" t="n">
        <f aca="false">E354*H354</f>
        <v>1591000</v>
      </c>
      <c r="O354" s="18" t="n">
        <f aca="false">IF(H354=0,"",(H354-G354)/H354)</f>
        <v>0.118918918918919</v>
      </c>
      <c r="P354" s="12" t="n">
        <f aca="false">IF(J354="","",J354-README!$C$4)</f>
        <v>545</v>
      </c>
      <c r="Q354" s="12" t="str">
        <f aca="false">IF(E354=0,"Out of stock",IF(E354&lt;=F354,"Low stock","OK"))</f>
        <v>OK</v>
      </c>
      <c r="R354" s="12" t="str">
        <f aca="false">IF(J354="","No expiry",IF(P354&lt;0,"Expired",IF(P354&lt;=30,"Expiring &lt;=30 days","OK")))</f>
        <v>OK</v>
      </c>
      <c r="S354" s="12"/>
    </row>
    <row r="355" customFormat="false" ht="15" hidden="false" customHeight="false" outlineLevel="0" collapsed="false">
      <c r="A355" s="12" t="s">
        <v>3221</v>
      </c>
      <c r="B355" s="12" t="s">
        <v>1319</v>
      </c>
      <c r="C355" s="12" t="s">
        <v>2286</v>
      </c>
      <c r="D355" s="12" t="s">
        <v>2287</v>
      </c>
      <c r="E355" s="12" t="n">
        <v>14</v>
      </c>
      <c r="F355" s="12" t="n">
        <v>8</v>
      </c>
      <c r="G355" s="15" t="n">
        <v>10900</v>
      </c>
      <c r="H355" s="15" t="n">
        <v>12500</v>
      </c>
      <c r="I355" s="12" t="s">
        <v>3222</v>
      </c>
      <c r="J355" s="17" t="n">
        <v>46630</v>
      </c>
      <c r="K355" s="12" t="s">
        <v>1120</v>
      </c>
      <c r="L355" s="12" t="n">
        <v>9</v>
      </c>
      <c r="M355" s="15" t="n">
        <f aca="false">E355*G355</f>
        <v>152600</v>
      </c>
      <c r="N355" s="15" t="n">
        <f aca="false">E355*H355</f>
        <v>175000</v>
      </c>
      <c r="O355" s="18" t="n">
        <f aca="false">IF(H355=0,"",(H355-G355)/H355)</f>
        <v>0.128</v>
      </c>
      <c r="P355" s="12" t="n">
        <f aca="false">IF(J355="","",J355-README!$C$4)</f>
        <v>308</v>
      </c>
      <c r="Q355" s="12" t="str">
        <f aca="false">IF(E355=0,"Out of stock",IF(E355&lt;=F355,"Low stock","OK"))</f>
        <v>OK</v>
      </c>
      <c r="R355" s="12" t="str">
        <f aca="false">IF(J355="","No expiry",IF(P355&lt;0,"Expired",IF(P355&lt;=30,"Expiring &lt;=30 days","OK")))</f>
        <v>OK</v>
      </c>
      <c r="S355" s="12"/>
    </row>
    <row r="356" customFormat="false" ht="15" hidden="false" customHeight="false" outlineLevel="0" collapsed="false">
      <c r="A356" s="12" t="s">
        <v>3223</v>
      </c>
      <c r="B356" s="12" t="s">
        <v>1319</v>
      </c>
      <c r="C356" s="12" t="s">
        <v>2289</v>
      </c>
      <c r="D356" s="12" t="s">
        <v>2290</v>
      </c>
      <c r="E356" s="12" t="n">
        <v>15</v>
      </c>
      <c r="F356" s="12" t="n">
        <v>11</v>
      </c>
      <c r="G356" s="15" t="n">
        <v>213900</v>
      </c>
      <c r="H356" s="15" t="n">
        <v>262500</v>
      </c>
      <c r="I356" s="12" t="s">
        <v>3224</v>
      </c>
      <c r="J356" s="17" t="n">
        <v>46771</v>
      </c>
      <c r="K356" s="12" t="s">
        <v>1120</v>
      </c>
      <c r="L356" s="12" t="n">
        <v>10</v>
      </c>
      <c r="M356" s="15" t="n">
        <f aca="false">E356*G356</f>
        <v>3208500</v>
      </c>
      <c r="N356" s="15" t="n">
        <f aca="false">E356*H356</f>
        <v>3937500</v>
      </c>
      <c r="O356" s="18" t="n">
        <f aca="false">IF(H356=0,"",(H356-G356)/H356)</f>
        <v>0.185142857142857</v>
      </c>
      <c r="P356" s="12" t="n">
        <f aca="false">IF(J356="","",J356-README!$C$4)</f>
        <v>449</v>
      </c>
      <c r="Q356" s="12" t="str">
        <f aca="false">IF(E356=0,"Out of stock",IF(E356&lt;=F356,"Low stock","OK"))</f>
        <v>OK</v>
      </c>
      <c r="R356" s="12" t="str">
        <f aca="false">IF(J356="","No expiry",IF(P356&lt;0,"Expired",IF(P356&lt;=30,"Expiring &lt;=30 days","OK")))</f>
        <v>OK</v>
      </c>
      <c r="S356" s="12"/>
    </row>
    <row r="357" customFormat="false" ht="15" hidden="false" customHeight="false" outlineLevel="0" collapsed="false">
      <c r="A357" s="12" t="s">
        <v>3225</v>
      </c>
      <c r="B357" s="12" t="s">
        <v>1319</v>
      </c>
      <c r="C357" s="12" t="s">
        <v>2295</v>
      </c>
      <c r="D357" s="12" t="s">
        <v>2296</v>
      </c>
      <c r="E357" s="12" t="n">
        <v>34</v>
      </c>
      <c r="F357" s="12" t="n">
        <v>8</v>
      </c>
      <c r="G357" s="15" t="n">
        <v>24500</v>
      </c>
      <c r="H357" s="15" t="n">
        <v>27500</v>
      </c>
      <c r="I357" s="12" t="s">
        <v>3226</v>
      </c>
      <c r="J357" s="17" t="n">
        <v>46753</v>
      </c>
      <c r="K357" s="12" t="s">
        <v>1120</v>
      </c>
      <c r="L357" s="12" t="n">
        <v>23</v>
      </c>
      <c r="M357" s="15" t="n">
        <f aca="false">E357*G357</f>
        <v>833000</v>
      </c>
      <c r="N357" s="15" t="n">
        <f aca="false">E357*H357</f>
        <v>935000</v>
      </c>
      <c r="O357" s="18" t="n">
        <f aca="false">IF(H357=0,"",(H357-G357)/H357)</f>
        <v>0.109090909090909</v>
      </c>
      <c r="P357" s="12" t="n">
        <f aca="false">IF(J357="","",J357-README!$C$4)</f>
        <v>431</v>
      </c>
      <c r="Q357" s="12" t="str">
        <f aca="false">IF(E357=0,"Out of stock",IF(E357&lt;=F357,"Low stock","OK"))</f>
        <v>OK</v>
      </c>
      <c r="R357" s="12" t="str">
        <f aca="false">IF(J357="","No expiry",IF(P357&lt;0,"Expired",IF(P357&lt;=30,"Expiring &lt;=30 days","OK")))</f>
        <v>OK</v>
      </c>
      <c r="S357" s="12"/>
    </row>
    <row r="358" customFormat="false" ht="15" hidden="false" customHeight="false" outlineLevel="0" collapsed="false">
      <c r="A358" s="12" t="s">
        <v>3227</v>
      </c>
      <c r="B358" s="12" t="s">
        <v>1319</v>
      </c>
      <c r="C358" s="12" t="s">
        <v>2292</v>
      </c>
      <c r="D358" s="12" t="s">
        <v>2293</v>
      </c>
      <c r="E358" s="12" t="n">
        <v>43</v>
      </c>
      <c r="F358" s="12" t="n">
        <v>8</v>
      </c>
      <c r="G358" s="15" t="n">
        <v>11800</v>
      </c>
      <c r="H358" s="15" t="n">
        <v>14500</v>
      </c>
      <c r="I358" s="12" t="s">
        <v>3228</v>
      </c>
      <c r="J358" s="17" t="n">
        <v>46795</v>
      </c>
      <c r="K358" s="12" t="s">
        <v>1120</v>
      </c>
      <c r="L358" s="12" t="n">
        <v>30</v>
      </c>
      <c r="M358" s="15" t="n">
        <f aca="false">E358*G358</f>
        <v>507400</v>
      </c>
      <c r="N358" s="15" t="n">
        <f aca="false">E358*H358</f>
        <v>623500</v>
      </c>
      <c r="O358" s="18" t="n">
        <f aca="false">IF(H358=0,"",(H358-G358)/H358)</f>
        <v>0.186206896551724</v>
      </c>
      <c r="P358" s="12" t="n">
        <f aca="false">IF(J358="","",J358-README!$C$4)</f>
        <v>473</v>
      </c>
      <c r="Q358" s="12" t="str">
        <f aca="false">IF(E358=0,"Out of stock",IF(E358&lt;=F358,"Low stock","OK"))</f>
        <v>OK</v>
      </c>
      <c r="R358" s="12" t="str">
        <f aca="false">IF(J358="","No expiry",IF(P358&lt;0,"Expired",IF(P358&lt;=30,"Expiring &lt;=30 days","OK")))</f>
        <v>OK</v>
      </c>
      <c r="S358" s="12"/>
    </row>
    <row r="359" customFormat="false" ht="15" hidden="false" customHeight="false" outlineLevel="0" collapsed="false">
      <c r="A359" s="12" t="s">
        <v>3229</v>
      </c>
      <c r="B359" s="12" t="s">
        <v>1319</v>
      </c>
      <c r="C359" s="12" t="s">
        <v>2302</v>
      </c>
      <c r="D359" s="12" t="s">
        <v>2303</v>
      </c>
      <c r="E359" s="12" t="n">
        <v>58</v>
      </c>
      <c r="F359" s="12" t="n">
        <v>8</v>
      </c>
      <c r="G359" s="15" t="n">
        <v>10600</v>
      </c>
      <c r="H359" s="15" t="n">
        <v>12500</v>
      </c>
      <c r="I359" s="12" t="s">
        <v>3230</v>
      </c>
      <c r="J359" s="17" t="n">
        <v>46996</v>
      </c>
      <c r="K359" s="12" t="s">
        <v>1120</v>
      </c>
      <c r="L359" s="12" t="n">
        <v>40</v>
      </c>
      <c r="M359" s="15" t="n">
        <f aca="false">E359*G359</f>
        <v>614800</v>
      </c>
      <c r="N359" s="15" t="n">
        <f aca="false">E359*H359</f>
        <v>725000</v>
      </c>
      <c r="O359" s="18" t="n">
        <f aca="false">IF(H359=0,"",(H359-G359)/H359)</f>
        <v>0.152</v>
      </c>
      <c r="P359" s="12" t="n">
        <f aca="false">IF(J359="","",J359-README!$C$4)</f>
        <v>674</v>
      </c>
      <c r="Q359" s="12" t="str">
        <f aca="false">IF(E359=0,"Out of stock",IF(E359&lt;=F359,"Low stock","OK"))</f>
        <v>OK</v>
      </c>
      <c r="R359" s="12" t="str">
        <f aca="false">IF(J359="","No expiry",IF(P359&lt;0,"Expired",IF(P359&lt;=30,"Expiring &lt;=30 days","OK")))</f>
        <v>OK</v>
      </c>
      <c r="S359" s="12"/>
    </row>
    <row r="360" customFormat="false" ht="15" hidden="false" customHeight="false" outlineLevel="0" collapsed="false">
      <c r="A360" s="12" t="s">
        <v>3231</v>
      </c>
      <c r="B360" s="12" t="s">
        <v>1319</v>
      </c>
      <c r="C360" s="12" t="s">
        <v>2298</v>
      </c>
      <c r="D360" s="12" t="s">
        <v>2300</v>
      </c>
      <c r="E360" s="12" t="n">
        <v>20</v>
      </c>
      <c r="F360" s="12" t="n">
        <v>8</v>
      </c>
      <c r="G360" s="15" t="n">
        <v>6600</v>
      </c>
      <c r="H360" s="15" t="n">
        <v>7400</v>
      </c>
      <c r="I360" s="12" t="s">
        <v>3232</v>
      </c>
      <c r="J360" s="17" t="n">
        <v>46798</v>
      </c>
      <c r="K360" s="12" t="s">
        <v>1120</v>
      </c>
      <c r="L360" s="12" t="n">
        <v>14</v>
      </c>
      <c r="M360" s="15" t="n">
        <f aca="false">E360*G360</f>
        <v>132000</v>
      </c>
      <c r="N360" s="15" t="n">
        <f aca="false">E360*H360</f>
        <v>148000</v>
      </c>
      <c r="O360" s="18" t="n">
        <f aca="false">IF(H360=0,"",(H360-G360)/H360)</f>
        <v>0.108108108108108</v>
      </c>
      <c r="P360" s="12" t="n">
        <f aca="false">IF(J360="","",J360-README!$C$4)</f>
        <v>476</v>
      </c>
      <c r="Q360" s="12" t="str">
        <f aca="false">IF(E360=0,"Out of stock",IF(E360&lt;=F360,"Low stock","OK"))</f>
        <v>OK</v>
      </c>
      <c r="R360" s="12" t="str">
        <f aca="false">IF(J360="","No expiry",IF(P360&lt;0,"Expired",IF(P360&lt;=30,"Expiring &lt;=30 days","OK")))</f>
        <v>OK</v>
      </c>
      <c r="S360" s="12"/>
    </row>
    <row r="361" customFormat="false" ht="15" hidden="false" customHeight="false" outlineLevel="0" collapsed="false">
      <c r="A361" s="12" t="s">
        <v>3233</v>
      </c>
      <c r="B361" s="12" t="s">
        <v>1319</v>
      </c>
      <c r="C361" s="12" t="s">
        <v>2305</v>
      </c>
      <c r="D361" s="12" t="s">
        <v>2306</v>
      </c>
      <c r="E361" s="12" t="n">
        <v>181</v>
      </c>
      <c r="F361" s="12" t="n">
        <v>28</v>
      </c>
      <c r="G361" s="15" t="n">
        <v>4700</v>
      </c>
      <c r="H361" s="15" t="n">
        <v>5200</v>
      </c>
      <c r="I361" s="12" t="s">
        <v>3234</v>
      </c>
      <c r="J361" s="17" t="n">
        <v>46869</v>
      </c>
      <c r="K361" s="12" t="s">
        <v>1120</v>
      </c>
      <c r="L361" s="12" t="n">
        <v>126</v>
      </c>
      <c r="M361" s="15" t="n">
        <f aca="false">E361*G361</f>
        <v>850700</v>
      </c>
      <c r="N361" s="15" t="n">
        <f aca="false">E361*H361</f>
        <v>941200</v>
      </c>
      <c r="O361" s="18" t="n">
        <f aca="false">IF(H361=0,"",(H361-G361)/H361)</f>
        <v>0.0961538461538462</v>
      </c>
      <c r="P361" s="12" t="n">
        <f aca="false">IF(J361="","",J361-README!$C$4)</f>
        <v>547</v>
      </c>
      <c r="Q361" s="12" t="str">
        <f aca="false">IF(E361=0,"Out of stock",IF(E361&lt;=F361,"Low stock","OK"))</f>
        <v>OK</v>
      </c>
      <c r="R361" s="12" t="str">
        <f aca="false">IF(J361="","No expiry",IF(P361&lt;0,"Expired",IF(P361&lt;=30,"Expiring &lt;=30 days","OK")))</f>
        <v>OK</v>
      </c>
      <c r="S361" s="12"/>
    </row>
    <row r="362" customFormat="false" ht="15" hidden="false" customHeight="false" outlineLevel="0" collapsed="false">
      <c r="A362" s="12" t="s">
        <v>3235</v>
      </c>
      <c r="B362" s="12" t="s">
        <v>1319</v>
      </c>
      <c r="C362" s="12" t="s">
        <v>2308</v>
      </c>
      <c r="D362" s="12" t="s">
        <v>2309</v>
      </c>
      <c r="E362" s="12" t="n">
        <v>137</v>
      </c>
      <c r="F362" s="12" t="n">
        <v>28</v>
      </c>
      <c r="G362" s="15" t="n">
        <v>8000</v>
      </c>
      <c r="H362" s="15" t="n">
        <v>9400</v>
      </c>
      <c r="I362" s="12" t="s">
        <v>3236</v>
      </c>
      <c r="J362" s="17" t="n">
        <v>46821</v>
      </c>
      <c r="K362" s="12" t="s">
        <v>1120</v>
      </c>
      <c r="L362" s="12" t="n">
        <v>95</v>
      </c>
      <c r="M362" s="15" t="n">
        <f aca="false">E362*G362</f>
        <v>1096000</v>
      </c>
      <c r="N362" s="15" t="n">
        <f aca="false">E362*H362</f>
        <v>1287800</v>
      </c>
      <c r="O362" s="18" t="n">
        <f aca="false">IF(H362=0,"",(H362-G362)/H362)</f>
        <v>0.148936170212766</v>
      </c>
      <c r="P362" s="12" t="n">
        <f aca="false">IF(J362="","",J362-README!$C$4)</f>
        <v>499</v>
      </c>
      <c r="Q362" s="12" t="str">
        <f aca="false">IF(E362=0,"Out of stock",IF(E362&lt;=F362,"Low stock","OK"))</f>
        <v>OK</v>
      </c>
      <c r="R362" s="12" t="str">
        <f aca="false">IF(J362="","No expiry",IF(P362&lt;0,"Expired",IF(P362&lt;=30,"Expiring &lt;=30 days","OK")))</f>
        <v>OK</v>
      </c>
      <c r="S362" s="12"/>
    </row>
    <row r="363" customFormat="false" ht="15" hidden="false" customHeight="false" outlineLevel="0" collapsed="false">
      <c r="A363" s="12" t="s">
        <v>3237</v>
      </c>
      <c r="B363" s="12" t="s">
        <v>1319</v>
      </c>
      <c r="C363" s="12" t="s">
        <v>2311</v>
      </c>
      <c r="D363" s="12" t="s">
        <v>2312</v>
      </c>
      <c r="E363" s="12" t="n">
        <v>10</v>
      </c>
      <c r="F363" s="12" t="n">
        <v>8</v>
      </c>
      <c r="G363" s="15" t="n">
        <v>12800</v>
      </c>
      <c r="H363" s="15" t="n">
        <v>14500</v>
      </c>
      <c r="I363" s="12" t="s">
        <v>3238</v>
      </c>
      <c r="J363" s="17" t="n">
        <v>46788</v>
      </c>
      <c r="K363" s="12" t="s">
        <v>1120</v>
      </c>
      <c r="L363" s="12" t="n">
        <v>7</v>
      </c>
      <c r="M363" s="15" t="n">
        <f aca="false">E363*G363</f>
        <v>128000</v>
      </c>
      <c r="N363" s="15" t="n">
        <f aca="false">E363*H363</f>
        <v>145000</v>
      </c>
      <c r="O363" s="18" t="n">
        <f aca="false">IF(H363=0,"",(H363-G363)/H363)</f>
        <v>0.117241379310345</v>
      </c>
      <c r="P363" s="12" t="n">
        <f aca="false">IF(J363="","",J363-README!$C$4)</f>
        <v>466</v>
      </c>
      <c r="Q363" s="12" t="str">
        <f aca="false">IF(E363=0,"Out of stock",IF(E363&lt;=F363,"Low stock","OK"))</f>
        <v>OK</v>
      </c>
      <c r="R363" s="12" t="str">
        <f aca="false">IF(J363="","No expiry",IF(P363&lt;0,"Expired",IF(P363&lt;=30,"Expiring &lt;=30 days","OK")))</f>
        <v>OK</v>
      </c>
      <c r="S363" s="12"/>
    </row>
    <row r="364" customFormat="false" ht="15" hidden="false" customHeight="false" outlineLevel="0" collapsed="false">
      <c r="A364" s="12" t="s">
        <v>3239</v>
      </c>
      <c r="B364" s="12" t="s">
        <v>1319</v>
      </c>
      <c r="C364" s="12" t="s">
        <v>2317</v>
      </c>
      <c r="D364" s="12" t="s">
        <v>2318</v>
      </c>
      <c r="E364" s="12" t="n">
        <v>17</v>
      </c>
      <c r="F364" s="12" t="n">
        <v>8</v>
      </c>
      <c r="G364" s="15" t="n">
        <v>23700</v>
      </c>
      <c r="H364" s="15" t="n">
        <v>29500</v>
      </c>
      <c r="I364" s="12" t="s">
        <v>3240</v>
      </c>
      <c r="J364" s="17" t="n">
        <v>46905</v>
      </c>
      <c r="K364" s="12" t="s">
        <v>1120</v>
      </c>
      <c r="L364" s="12" t="n">
        <v>11</v>
      </c>
      <c r="M364" s="15" t="n">
        <f aca="false">E364*G364</f>
        <v>402900</v>
      </c>
      <c r="N364" s="15" t="n">
        <f aca="false">E364*H364</f>
        <v>501500</v>
      </c>
      <c r="O364" s="18" t="n">
        <f aca="false">IF(H364=0,"",(H364-G364)/H364)</f>
        <v>0.196610169491525</v>
      </c>
      <c r="P364" s="12" t="n">
        <f aca="false">IF(J364="","",J364-README!$C$4)</f>
        <v>583</v>
      </c>
      <c r="Q364" s="12" t="str">
        <f aca="false">IF(E364=0,"Out of stock",IF(E364&lt;=F364,"Low stock","OK"))</f>
        <v>OK</v>
      </c>
      <c r="R364" s="12" t="str">
        <f aca="false">IF(J364="","No expiry",IF(P364&lt;0,"Expired",IF(P364&lt;=30,"Expiring &lt;=30 days","OK")))</f>
        <v>OK</v>
      </c>
      <c r="S364" s="12"/>
    </row>
    <row r="365" customFormat="false" ht="15" hidden="false" customHeight="false" outlineLevel="0" collapsed="false">
      <c r="A365" s="12" t="s">
        <v>3241</v>
      </c>
      <c r="B365" s="12" t="s">
        <v>1319</v>
      </c>
      <c r="C365" s="12" t="s">
        <v>2314</v>
      </c>
      <c r="D365" s="12" t="s">
        <v>2315</v>
      </c>
      <c r="E365" s="12" t="n">
        <v>12</v>
      </c>
      <c r="F365" s="12" t="n">
        <v>8</v>
      </c>
      <c r="G365" s="15" t="n">
        <v>15300</v>
      </c>
      <c r="H365" s="15" t="n">
        <v>17000</v>
      </c>
      <c r="I365" s="12" t="s">
        <v>3242</v>
      </c>
      <c r="J365" s="17" t="n">
        <v>46703</v>
      </c>
      <c r="K365" s="12" t="s">
        <v>1120</v>
      </c>
      <c r="L365" s="12" t="n">
        <v>8</v>
      </c>
      <c r="M365" s="15" t="n">
        <f aca="false">E365*G365</f>
        <v>183600</v>
      </c>
      <c r="N365" s="15" t="n">
        <f aca="false">E365*H365</f>
        <v>204000</v>
      </c>
      <c r="O365" s="18" t="n">
        <f aca="false">IF(H365=0,"",(H365-G365)/H365)</f>
        <v>0.1</v>
      </c>
      <c r="P365" s="12" t="n">
        <f aca="false">IF(J365="","",J365-README!$C$4)</f>
        <v>381</v>
      </c>
      <c r="Q365" s="12" t="str">
        <f aca="false">IF(E365=0,"Out of stock",IF(E365&lt;=F365,"Low stock","OK"))</f>
        <v>OK</v>
      </c>
      <c r="R365" s="12" t="str">
        <f aca="false">IF(J365="","No expiry",IF(P365&lt;0,"Expired",IF(P365&lt;=30,"Expiring &lt;=30 days","OK")))</f>
        <v>OK</v>
      </c>
      <c r="S365" s="12"/>
    </row>
    <row r="366" customFormat="false" ht="15" hidden="false" customHeight="false" outlineLevel="0" collapsed="false">
      <c r="A366" s="12" t="s">
        <v>3243</v>
      </c>
      <c r="B366" s="12" t="s">
        <v>1319</v>
      </c>
      <c r="C366" s="12" t="s">
        <v>2320</v>
      </c>
      <c r="D366" s="12" t="s">
        <v>2321</v>
      </c>
      <c r="E366" s="12" t="n">
        <v>30</v>
      </c>
      <c r="F366" s="12" t="n">
        <v>28</v>
      </c>
      <c r="G366" s="15" t="n">
        <v>3100</v>
      </c>
      <c r="H366" s="15" t="n">
        <v>3700</v>
      </c>
      <c r="I366" s="12" t="s">
        <v>3244</v>
      </c>
      <c r="J366" s="17" t="n">
        <v>46630</v>
      </c>
      <c r="K366" s="12" t="s">
        <v>1120</v>
      </c>
      <c r="L366" s="12" t="n">
        <v>21</v>
      </c>
      <c r="M366" s="15" t="n">
        <f aca="false">E366*G366</f>
        <v>93000</v>
      </c>
      <c r="N366" s="15" t="n">
        <f aca="false">E366*H366</f>
        <v>111000</v>
      </c>
      <c r="O366" s="18" t="n">
        <f aca="false">IF(H366=0,"",(H366-G366)/H366)</f>
        <v>0.162162162162162</v>
      </c>
      <c r="P366" s="12" t="n">
        <f aca="false">IF(J366="","",J366-README!$C$4)</f>
        <v>308</v>
      </c>
      <c r="Q366" s="12" t="str">
        <f aca="false">IF(E366=0,"Out of stock",IF(E366&lt;=F366,"Low stock","OK"))</f>
        <v>OK</v>
      </c>
      <c r="R366" s="12" t="str">
        <f aca="false">IF(J366="","No expiry",IF(P366&lt;0,"Expired",IF(P366&lt;=30,"Expiring &lt;=30 days","OK")))</f>
        <v>OK</v>
      </c>
      <c r="S366" s="12"/>
    </row>
    <row r="367" customFormat="false" ht="15" hidden="false" customHeight="false" outlineLevel="0" collapsed="false">
      <c r="A367" s="12" t="s">
        <v>3245</v>
      </c>
      <c r="B367" s="12" t="s">
        <v>1319</v>
      </c>
      <c r="C367" s="12" t="s">
        <v>2323</v>
      </c>
      <c r="D367" s="12" t="s">
        <v>2324</v>
      </c>
      <c r="E367" s="12" t="n">
        <v>60</v>
      </c>
      <c r="F367" s="12" t="n">
        <v>8</v>
      </c>
      <c r="G367" s="15" t="n">
        <v>13000</v>
      </c>
      <c r="H367" s="15" t="n">
        <v>14500</v>
      </c>
      <c r="I367" s="12" t="s">
        <v>3246</v>
      </c>
      <c r="J367" s="17" t="n">
        <v>46580</v>
      </c>
      <c r="K367" s="12" t="s">
        <v>1120</v>
      </c>
      <c r="L367" s="12" t="n">
        <v>42</v>
      </c>
      <c r="M367" s="15" t="n">
        <f aca="false">E367*G367</f>
        <v>780000</v>
      </c>
      <c r="N367" s="15" t="n">
        <f aca="false">E367*H367</f>
        <v>870000</v>
      </c>
      <c r="O367" s="18" t="n">
        <f aca="false">IF(H367=0,"",(H367-G367)/H367)</f>
        <v>0.103448275862069</v>
      </c>
      <c r="P367" s="12" t="n">
        <f aca="false">IF(J367="","",J367-README!$C$4)</f>
        <v>258</v>
      </c>
      <c r="Q367" s="12" t="str">
        <f aca="false">IF(E367=0,"Out of stock",IF(E367&lt;=F367,"Low stock","OK"))</f>
        <v>OK</v>
      </c>
      <c r="R367" s="12" t="str">
        <f aca="false">IF(J367="","No expiry",IF(P367&lt;0,"Expired",IF(P367&lt;=30,"Expiring &lt;=30 days","OK")))</f>
        <v>OK</v>
      </c>
      <c r="S367" s="12"/>
    </row>
    <row r="368" customFormat="false" ht="15" hidden="false" customHeight="false" outlineLevel="0" collapsed="false">
      <c r="A368" s="12" t="s">
        <v>3247</v>
      </c>
      <c r="B368" s="12" t="s">
        <v>1319</v>
      </c>
      <c r="C368" s="12" t="s">
        <v>2329</v>
      </c>
      <c r="D368" s="12" t="s">
        <v>2330</v>
      </c>
      <c r="E368" s="12" t="n">
        <v>33</v>
      </c>
      <c r="F368" s="12" t="n">
        <v>8</v>
      </c>
      <c r="G368" s="15" t="n">
        <v>11800</v>
      </c>
      <c r="H368" s="15" t="n">
        <v>14500</v>
      </c>
      <c r="I368" s="12" t="s">
        <v>3248</v>
      </c>
      <c r="J368" s="17" t="n">
        <v>46792</v>
      </c>
      <c r="K368" s="12" t="s">
        <v>1120</v>
      </c>
      <c r="L368" s="12" t="n">
        <v>23</v>
      </c>
      <c r="M368" s="15" t="n">
        <f aca="false">E368*G368</f>
        <v>389400</v>
      </c>
      <c r="N368" s="15" t="n">
        <f aca="false">E368*H368</f>
        <v>478500</v>
      </c>
      <c r="O368" s="18" t="n">
        <f aca="false">IF(H368=0,"",(H368-G368)/H368)</f>
        <v>0.186206896551724</v>
      </c>
      <c r="P368" s="12" t="n">
        <f aca="false">IF(J368="","",J368-README!$C$4)</f>
        <v>470</v>
      </c>
      <c r="Q368" s="12" t="str">
        <f aca="false">IF(E368=0,"Out of stock",IF(E368&lt;=F368,"Low stock","OK"))</f>
        <v>OK</v>
      </c>
      <c r="R368" s="12" t="str">
        <f aca="false">IF(J368="","No expiry",IF(P368&lt;0,"Expired",IF(P368&lt;=30,"Expiring &lt;=30 days","OK")))</f>
        <v>OK</v>
      </c>
      <c r="S368" s="12"/>
    </row>
    <row r="369" customFormat="false" ht="15" hidden="false" customHeight="false" outlineLevel="0" collapsed="false">
      <c r="A369" s="12" t="s">
        <v>3249</v>
      </c>
      <c r="B369" s="12" t="s">
        <v>1319</v>
      </c>
      <c r="C369" s="12" t="s">
        <v>2326</v>
      </c>
      <c r="D369" s="12" t="s">
        <v>2327</v>
      </c>
      <c r="E369" s="12" t="n">
        <v>57</v>
      </c>
      <c r="F369" s="12" t="n">
        <v>8</v>
      </c>
      <c r="G369" s="15" t="n">
        <v>6900</v>
      </c>
      <c r="H369" s="15" t="n">
        <v>8400</v>
      </c>
      <c r="I369" s="12" t="s">
        <v>3250</v>
      </c>
      <c r="J369" s="17" t="n">
        <v>47117</v>
      </c>
      <c r="K369" s="12" t="s">
        <v>1120</v>
      </c>
      <c r="L369" s="12" t="n">
        <v>39</v>
      </c>
      <c r="M369" s="15" t="n">
        <f aca="false">E369*G369</f>
        <v>393300</v>
      </c>
      <c r="N369" s="15" t="n">
        <f aca="false">E369*H369</f>
        <v>478800</v>
      </c>
      <c r="O369" s="18" t="n">
        <f aca="false">IF(H369=0,"",(H369-G369)/H369)</f>
        <v>0.178571428571429</v>
      </c>
      <c r="P369" s="12" t="n">
        <f aca="false">IF(J369="","",J369-README!$C$4)</f>
        <v>795</v>
      </c>
      <c r="Q369" s="12" t="str">
        <f aca="false">IF(E369=0,"Out of stock",IF(E369&lt;=F369,"Low stock","OK"))</f>
        <v>OK</v>
      </c>
      <c r="R369" s="12" t="str">
        <f aca="false">IF(J369="","No expiry",IF(P369&lt;0,"Expired",IF(P369&lt;=30,"Expiring &lt;=30 days","OK")))</f>
        <v>OK</v>
      </c>
      <c r="S369" s="12"/>
    </row>
    <row r="370" customFormat="false" ht="15" hidden="false" customHeight="false" outlineLevel="0" collapsed="false">
      <c r="A370" s="12" t="s">
        <v>3251</v>
      </c>
      <c r="B370" s="12" t="s">
        <v>1319</v>
      </c>
      <c r="C370" s="12" t="s">
        <v>2332</v>
      </c>
      <c r="D370" s="12" t="s">
        <v>2333</v>
      </c>
      <c r="E370" s="12" t="n">
        <v>67</v>
      </c>
      <c r="F370" s="12" t="n">
        <v>28</v>
      </c>
      <c r="G370" s="15" t="n">
        <v>4200</v>
      </c>
      <c r="H370" s="15" t="n">
        <v>5200</v>
      </c>
      <c r="I370" s="12" t="s">
        <v>3252</v>
      </c>
      <c r="J370" s="17" t="n">
        <v>47098</v>
      </c>
      <c r="K370" s="12" t="s">
        <v>1111</v>
      </c>
      <c r="L370" s="12" t="n">
        <v>0</v>
      </c>
      <c r="M370" s="15" t="n">
        <f aca="false">E370*G370</f>
        <v>281400</v>
      </c>
      <c r="N370" s="15" t="n">
        <f aca="false">E370*H370</f>
        <v>348400</v>
      </c>
      <c r="O370" s="18" t="n">
        <f aca="false">IF(H370=0,"",(H370-G370)/H370)</f>
        <v>0.192307692307692</v>
      </c>
      <c r="P370" s="12" t="n">
        <f aca="false">IF(J370="","",J370-README!$C$4)</f>
        <v>776</v>
      </c>
      <c r="Q370" s="12" t="str">
        <f aca="false">IF(E370=0,"Out of stock",IF(E370&lt;=F370,"Low stock","OK"))</f>
        <v>OK</v>
      </c>
      <c r="R370" s="12" t="str">
        <f aca="false">IF(J370="","No expiry",IF(P370&lt;0,"Expired",IF(P370&lt;=30,"Expiring &lt;=30 days","OK")))</f>
        <v>OK</v>
      </c>
      <c r="S370" s="12"/>
    </row>
    <row r="371" customFormat="false" ht="15" hidden="false" customHeight="false" outlineLevel="0" collapsed="false">
      <c r="A371" s="12" t="s">
        <v>3253</v>
      </c>
      <c r="B371" s="12" t="s">
        <v>1319</v>
      </c>
      <c r="C371" s="12" t="s">
        <v>2335</v>
      </c>
      <c r="D371" s="12" t="s">
        <v>2336</v>
      </c>
      <c r="E371" s="12" t="n">
        <v>12</v>
      </c>
      <c r="F371" s="12" t="n">
        <v>3</v>
      </c>
      <c r="G371" s="15" t="n">
        <v>33300</v>
      </c>
      <c r="H371" s="15" t="n">
        <v>40000</v>
      </c>
      <c r="I371" s="12" t="s">
        <v>3254</v>
      </c>
      <c r="J371" s="17" t="n">
        <v>47015</v>
      </c>
      <c r="K371" s="12" t="s">
        <v>1120</v>
      </c>
      <c r="L371" s="12" t="n">
        <v>8</v>
      </c>
      <c r="M371" s="15" t="n">
        <f aca="false">E371*G371</f>
        <v>399600</v>
      </c>
      <c r="N371" s="15" t="n">
        <f aca="false">E371*H371</f>
        <v>480000</v>
      </c>
      <c r="O371" s="18" t="n">
        <f aca="false">IF(H371=0,"",(H371-G371)/H371)</f>
        <v>0.1675</v>
      </c>
      <c r="P371" s="12" t="n">
        <f aca="false">IF(J371="","",J371-README!$C$4)</f>
        <v>693</v>
      </c>
      <c r="Q371" s="12" t="str">
        <f aca="false">IF(E371=0,"Out of stock",IF(E371&lt;=F371,"Low stock","OK"))</f>
        <v>OK</v>
      </c>
      <c r="R371" s="12" t="str">
        <f aca="false">IF(J371="","No expiry",IF(P371&lt;0,"Expired",IF(P371&lt;=30,"Expiring &lt;=30 days","OK")))</f>
        <v>OK</v>
      </c>
      <c r="S371" s="12"/>
    </row>
    <row r="372" customFormat="false" ht="15" hidden="false" customHeight="false" outlineLevel="0" collapsed="false">
      <c r="A372" s="12" t="s">
        <v>3255</v>
      </c>
      <c r="B372" s="12" t="s">
        <v>1319</v>
      </c>
      <c r="C372" s="12" t="s">
        <v>2338</v>
      </c>
      <c r="D372" s="12" t="s">
        <v>2339</v>
      </c>
      <c r="E372" s="12" t="n">
        <v>56</v>
      </c>
      <c r="F372" s="12" t="n">
        <v>8</v>
      </c>
      <c r="G372" s="15" t="n">
        <v>10700</v>
      </c>
      <c r="H372" s="15" t="n">
        <v>12500</v>
      </c>
      <c r="I372" s="12" t="s">
        <v>3256</v>
      </c>
      <c r="J372" s="17" t="n">
        <v>46703</v>
      </c>
      <c r="K372" s="12" t="s">
        <v>1120</v>
      </c>
      <c r="L372" s="12" t="n">
        <v>39</v>
      </c>
      <c r="M372" s="15" t="n">
        <f aca="false">E372*G372</f>
        <v>599200</v>
      </c>
      <c r="N372" s="15" t="n">
        <f aca="false">E372*H372</f>
        <v>700000</v>
      </c>
      <c r="O372" s="18" t="n">
        <f aca="false">IF(H372=0,"",(H372-G372)/H372)</f>
        <v>0.144</v>
      </c>
      <c r="P372" s="12" t="n">
        <f aca="false">IF(J372="","",J372-README!$C$4)</f>
        <v>381</v>
      </c>
      <c r="Q372" s="12" t="str">
        <f aca="false">IF(E372=0,"Out of stock",IF(E372&lt;=F372,"Low stock","OK"))</f>
        <v>OK</v>
      </c>
      <c r="R372" s="12" t="str">
        <f aca="false">IF(J372="","No expiry",IF(P372&lt;0,"Expired",IF(P372&lt;=30,"Expiring &lt;=30 days","OK")))</f>
        <v>OK</v>
      </c>
      <c r="S372" s="12"/>
    </row>
    <row r="373" customFormat="false" ht="15" hidden="false" customHeight="false" outlineLevel="0" collapsed="false">
      <c r="A373" s="12" t="s">
        <v>3257</v>
      </c>
      <c r="B373" s="12" t="s">
        <v>1319</v>
      </c>
      <c r="C373" s="12" t="s">
        <v>2341</v>
      </c>
      <c r="D373" s="12" t="s">
        <v>2342</v>
      </c>
      <c r="E373" s="12" t="n">
        <v>10</v>
      </c>
      <c r="F373" s="12" t="n">
        <v>8</v>
      </c>
      <c r="G373" s="15" t="n">
        <v>71500</v>
      </c>
      <c r="H373" s="15" t="n">
        <v>89000</v>
      </c>
      <c r="I373" s="12" t="s">
        <v>3258</v>
      </c>
      <c r="J373" s="17" t="n">
        <v>46907</v>
      </c>
      <c r="K373" s="12" t="s">
        <v>1120</v>
      </c>
      <c r="L373" s="12" t="n">
        <v>7</v>
      </c>
      <c r="M373" s="15" t="n">
        <f aca="false">E373*G373</f>
        <v>715000</v>
      </c>
      <c r="N373" s="15" t="n">
        <f aca="false">E373*H373</f>
        <v>890000</v>
      </c>
      <c r="O373" s="18" t="n">
        <f aca="false">IF(H373=0,"",(H373-G373)/H373)</f>
        <v>0.196629213483146</v>
      </c>
      <c r="P373" s="12" t="n">
        <f aca="false">IF(J373="","",J373-README!$C$4)</f>
        <v>585</v>
      </c>
      <c r="Q373" s="12" t="str">
        <f aca="false">IF(E373=0,"Out of stock",IF(E373&lt;=F373,"Low stock","OK"))</f>
        <v>OK</v>
      </c>
      <c r="R373" s="12" t="str">
        <f aca="false">IF(J373="","No expiry",IF(P373&lt;0,"Expired",IF(P373&lt;=30,"Expiring &lt;=30 days","OK")))</f>
        <v>OK</v>
      </c>
      <c r="S373" s="12"/>
    </row>
    <row r="374" customFormat="false" ht="15" hidden="false" customHeight="false" outlineLevel="0" collapsed="false">
      <c r="A374" s="12" t="s">
        <v>3259</v>
      </c>
      <c r="B374" s="12" t="s">
        <v>1319</v>
      </c>
      <c r="C374" s="12" t="s">
        <v>2348</v>
      </c>
      <c r="D374" s="12" t="s">
        <v>2349</v>
      </c>
      <c r="E374" s="12" t="n">
        <v>58</v>
      </c>
      <c r="F374" s="12" t="n">
        <v>8</v>
      </c>
      <c r="G374" s="15" t="n">
        <v>27400</v>
      </c>
      <c r="H374" s="15" t="n">
        <v>31500</v>
      </c>
      <c r="I374" s="12" t="s">
        <v>3260</v>
      </c>
      <c r="J374" s="17" t="n">
        <v>46575</v>
      </c>
      <c r="K374" s="12" t="s">
        <v>1111</v>
      </c>
      <c r="L374" s="12" t="n">
        <v>0</v>
      </c>
      <c r="M374" s="15" t="n">
        <f aca="false">E374*G374</f>
        <v>1589200</v>
      </c>
      <c r="N374" s="15" t="n">
        <f aca="false">E374*H374</f>
        <v>1827000</v>
      </c>
      <c r="O374" s="18" t="n">
        <f aca="false">IF(H374=0,"",(H374-G374)/H374)</f>
        <v>0.13015873015873</v>
      </c>
      <c r="P374" s="12" t="n">
        <f aca="false">IF(J374="","",J374-README!$C$4)</f>
        <v>253</v>
      </c>
      <c r="Q374" s="12" t="str">
        <f aca="false">IF(E374=0,"Out of stock",IF(E374&lt;=F374,"Low stock","OK"))</f>
        <v>OK</v>
      </c>
      <c r="R374" s="12" t="str">
        <f aca="false">IF(J374="","No expiry",IF(P374&lt;0,"Expired",IF(P374&lt;=30,"Expiring &lt;=30 days","OK")))</f>
        <v>OK</v>
      </c>
      <c r="S374" s="12"/>
    </row>
    <row r="375" customFormat="false" ht="15" hidden="false" customHeight="false" outlineLevel="0" collapsed="false">
      <c r="A375" s="12" t="s">
        <v>3261</v>
      </c>
      <c r="B375" s="12" t="s">
        <v>1319</v>
      </c>
      <c r="C375" s="12" t="s">
        <v>2344</v>
      </c>
      <c r="D375" s="12" t="s">
        <v>2346</v>
      </c>
      <c r="E375" s="12" t="n">
        <v>50</v>
      </c>
      <c r="F375" s="12" t="n">
        <v>8</v>
      </c>
      <c r="G375" s="15" t="n">
        <v>8000</v>
      </c>
      <c r="H375" s="15" t="n">
        <v>9400</v>
      </c>
      <c r="I375" s="12" t="s">
        <v>3262</v>
      </c>
      <c r="J375" s="17" t="n">
        <v>46901</v>
      </c>
      <c r="K375" s="12" t="s">
        <v>1120</v>
      </c>
      <c r="L375" s="12" t="n">
        <v>35</v>
      </c>
      <c r="M375" s="15" t="n">
        <f aca="false">E375*G375</f>
        <v>400000</v>
      </c>
      <c r="N375" s="15" t="n">
        <f aca="false">E375*H375</f>
        <v>470000</v>
      </c>
      <c r="O375" s="18" t="n">
        <f aca="false">IF(H375=0,"",(H375-G375)/H375)</f>
        <v>0.148936170212766</v>
      </c>
      <c r="P375" s="12" t="n">
        <f aca="false">IF(J375="","",J375-README!$C$4)</f>
        <v>579</v>
      </c>
      <c r="Q375" s="12" t="str">
        <f aca="false">IF(E375=0,"Out of stock",IF(E375&lt;=F375,"Low stock","OK"))</f>
        <v>OK</v>
      </c>
      <c r="R375" s="12" t="str">
        <f aca="false">IF(J375="","No expiry",IF(P375&lt;0,"Expired",IF(P375&lt;=30,"Expiring &lt;=30 days","OK")))</f>
        <v>OK</v>
      </c>
      <c r="S375" s="12"/>
    </row>
    <row r="376" customFormat="false" ht="15" hidden="false" customHeight="false" outlineLevel="0" collapsed="false">
      <c r="A376" s="12" t="s">
        <v>3263</v>
      </c>
      <c r="B376" s="12" t="s">
        <v>1319</v>
      </c>
      <c r="C376" s="12" t="s">
        <v>2351</v>
      </c>
      <c r="D376" s="12" t="s">
        <v>2352</v>
      </c>
      <c r="E376" s="12" t="n">
        <v>25</v>
      </c>
      <c r="F376" s="12" t="n">
        <v>8</v>
      </c>
      <c r="G376" s="15" t="n">
        <v>20100</v>
      </c>
      <c r="H376" s="15" t="n">
        <v>23000</v>
      </c>
      <c r="I376" s="12" t="s">
        <v>3264</v>
      </c>
      <c r="J376" s="17" t="n">
        <v>46657</v>
      </c>
      <c r="K376" s="12" t="s">
        <v>1120</v>
      </c>
      <c r="L376" s="12" t="n">
        <v>17</v>
      </c>
      <c r="M376" s="15" t="n">
        <f aca="false">E376*G376</f>
        <v>502500</v>
      </c>
      <c r="N376" s="15" t="n">
        <f aca="false">E376*H376</f>
        <v>575000</v>
      </c>
      <c r="O376" s="18" t="n">
        <f aca="false">IF(H376=0,"",(H376-G376)/H376)</f>
        <v>0.126086956521739</v>
      </c>
      <c r="P376" s="12" t="n">
        <f aca="false">IF(J376="","",J376-README!$C$4)</f>
        <v>335</v>
      </c>
      <c r="Q376" s="12" t="str">
        <f aca="false">IF(E376=0,"Out of stock",IF(E376&lt;=F376,"Low stock","OK"))</f>
        <v>OK</v>
      </c>
      <c r="R376" s="12" t="str">
        <f aca="false">IF(J376="","No expiry",IF(P376&lt;0,"Expired",IF(P376&lt;=30,"Expiring &lt;=30 days","OK")))</f>
        <v>OK</v>
      </c>
      <c r="S376" s="12"/>
    </row>
    <row r="377" customFormat="false" ht="15" hidden="false" customHeight="false" outlineLevel="0" collapsed="false">
      <c r="A377" s="12" t="s">
        <v>3265</v>
      </c>
      <c r="B377" s="12" t="s">
        <v>1319</v>
      </c>
      <c r="C377" s="12" t="s">
        <v>2357</v>
      </c>
      <c r="D377" s="12" t="s">
        <v>2359</v>
      </c>
      <c r="E377" s="12" t="n">
        <v>52</v>
      </c>
      <c r="F377" s="12" t="n">
        <v>8</v>
      </c>
      <c r="G377" s="15" t="n">
        <v>11100</v>
      </c>
      <c r="H377" s="15" t="n">
        <v>13500</v>
      </c>
      <c r="I377" s="12" t="s">
        <v>3266</v>
      </c>
      <c r="J377" s="17" t="n">
        <v>46779</v>
      </c>
      <c r="K377" s="12" t="s">
        <v>1120</v>
      </c>
      <c r="L377" s="12" t="n">
        <v>36</v>
      </c>
      <c r="M377" s="15" t="n">
        <f aca="false">E377*G377</f>
        <v>577200</v>
      </c>
      <c r="N377" s="15" t="n">
        <f aca="false">E377*H377</f>
        <v>702000</v>
      </c>
      <c r="O377" s="18" t="n">
        <f aca="false">IF(H377=0,"",(H377-G377)/H377)</f>
        <v>0.177777777777778</v>
      </c>
      <c r="P377" s="12" t="n">
        <f aca="false">IF(J377="","",J377-README!$C$4)</f>
        <v>457</v>
      </c>
      <c r="Q377" s="12" t="str">
        <f aca="false">IF(E377=0,"Out of stock",IF(E377&lt;=F377,"Low stock","OK"))</f>
        <v>OK</v>
      </c>
      <c r="R377" s="12" t="str">
        <f aca="false">IF(J377="","No expiry",IF(P377&lt;0,"Expired",IF(P377&lt;=30,"Expiring &lt;=30 days","OK")))</f>
        <v>OK</v>
      </c>
      <c r="S377" s="12"/>
    </row>
    <row r="378" customFormat="false" ht="15" hidden="false" customHeight="false" outlineLevel="0" collapsed="false">
      <c r="A378" s="12" t="s">
        <v>3267</v>
      </c>
      <c r="B378" s="12" t="s">
        <v>1319</v>
      </c>
      <c r="C378" s="12" t="s">
        <v>2361</v>
      </c>
      <c r="D378" s="12" t="s">
        <v>2363</v>
      </c>
      <c r="E378" s="12" t="n">
        <v>54</v>
      </c>
      <c r="F378" s="12" t="n">
        <v>8</v>
      </c>
      <c r="G378" s="15" t="n">
        <v>14300</v>
      </c>
      <c r="H378" s="15" t="n">
        <v>16000</v>
      </c>
      <c r="I378" s="12" t="s">
        <v>3268</v>
      </c>
      <c r="J378" s="17" t="n">
        <v>46653</v>
      </c>
      <c r="K378" s="12" t="s">
        <v>1120</v>
      </c>
      <c r="L378" s="12" t="n">
        <v>37</v>
      </c>
      <c r="M378" s="15" t="n">
        <f aca="false">E378*G378</f>
        <v>772200</v>
      </c>
      <c r="N378" s="15" t="n">
        <f aca="false">E378*H378</f>
        <v>864000</v>
      </c>
      <c r="O378" s="18" t="n">
        <f aca="false">IF(H378=0,"",(H378-G378)/H378)</f>
        <v>0.10625</v>
      </c>
      <c r="P378" s="12" t="n">
        <f aca="false">IF(J378="","",J378-README!$C$4)</f>
        <v>331</v>
      </c>
      <c r="Q378" s="12" t="str">
        <f aca="false">IF(E378=0,"Out of stock",IF(E378&lt;=F378,"Low stock","OK"))</f>
        <v>OK</v>
      </c>
      <c r="R378" s="12" t="str">
        <f aca="false">IF(J378="","No expiry",IF(P378&lt;0,"Expired",IF(P378&lt;=30,"Expiring &lt;=30 days","OK")))</f>
        <v>OK</v>
      </c>
      <c r="S378" s="12"/>
    </row>
    <row r="379" customFormat="false" ht="15" hidden="false" customHeight="false" outlineLevel="0" collapsed="false">
      <c r="A379" s="12" t="s">
        <v>3269</v>
      </c>
      <c r="B379" s="12" t="s">
        <v>1319</v>
      </c>
      <c r="C379" s="12" t="s">
        <v>2373</v>
      </c>
      <c r="D379" s="12" t="s">
        <v>2375</v>
      </c>
      <c r="E379" s="12" t="n">
        <v>9</v>
      </c>
      <c r="F379" s="12" t="n">
        <v>6</v>
      </c>
      <c r="G379" s="15" t="n">
        <v>19000</v>
      </c>
      <c r="H379" s="15" t="n">
        <v>23000</v>
      </c>
      <c r="I379" s="12" t="s">
        <v>3270</v>
      </c>
      <c r="J379" s="17" t="n">
        <v>46419</v>
      </c>
      <c r="K379" s="12" t="s">
        <v>1111</v>
      </c>
      <c r="L379" s="12" t="n">
        <v>0</v>
      </c>
      <c r="M379" s="15" t="n">
        <f aca="false">E379*G379</f>
        <v>171000</v>
      </c>
      <c r="N379" s="15" t="n">
        <f aca="false">E379*H379</f>
        <v>207000</v>
      </c>
      <c r="O379" s="18" t="n">
        <f aca="false">IF(H379=0,"",(H379-G379)/H379)</f>
        <v>0.173913043478261</v>
      </c>
      <c r="P379" s="12" t="n">
        <f aca="false">IF(J379="","",J379-README!$C$4)</f>
        <v>97</v>
      </c>
      <c r="Q379" s="12" t="str">
        <f aca="false">IF(E379=0,"Out of stock",IF(E379&lt;=F379,"Low stock","OK"))</f>
        <v>OK</v>
      </c>
      <c r="R379" s="12" t="str">
        <f aca="false">IF(J379="","No expiry",IF(P379&lt;0,"Expired",IF(P379&lt;=30,"Expiring &lt;=30 days","OK")))</f>
        <v>OK</v>
      </c>
      <c r="S379" s="12"/>
    </row>
    <row r="380" customFormat="false" ht="15" hidden="false" customHeight="false" outlineLevel="0" collapsed="false">
      <c r="A380" s="12" t="s">
        <v>3271</v>
      </c>
      <c r="B380" s="12" t="s">
        <v>1319</v>
      </c>
      <c r="C380" s="12" t="s">
        <v>2365</v>
      </c>
      <c r="D380" s="12" t="s">
        <v>2367</v>
      </c>
      <c r="E380" s="12" t="n">
        <v>25</v>
      </c>
      <c r="F380" s="12" t="n">
        <v>6</v>
      </c>
      <c r="G380" s="15" t="n">
        <v>3400</v>
      </c>
      <c r="H380" s="15" t="n">
        <v>4200</v>
      </c>
      <c r="I380" s="12" t="s">
        <v>3272</v>
      </c>
      <c r="J380" s="17" t="n">
        <v>46658</v>
      </c>
      <c r="K380" s="12" t="s">
        <v>1120</v>
      </c>
      <c r="L380" s="12" t="n">
        <v>17</v>
      </c>
      <c r="M380" s="15" t="n">
        <f aca="false">E380*G380</f>
        <v>85000</v>
      </c>
      <c r="N380" s="15" t="n">
        <f aca="false">E380*H380</f>
        <v>105000</v>
      </c>
      <c r="O380" s="18" t="n">
        <f aca="false">IF(H380=0,"",(H380-G380)/H380)</f>
        <v>0.19047619047619</v>
      </c>
      <c r="P380" s="12" t="n">
        <f aca="false">IF(J380="","",J380-README!$C$4)</f>
        <v>336</v>
      </c>
      <c r="Q380" s="12" t="str">
        <f aca="false">IF(E380=0,"Out of stock",IF(E380&lt;=F380,"Low stock","OK"))</f>
        <v>OK</v>
      </c>
      <c r="R380" s="12" t="str">
        <f aca="false">IF(J380="","No expiry",IF(P380&lt;0,"Expired",IF(P380&lt;=30,"Expiring &lt;=30 days","OK")))</f>
        <v>OK</v>
      </c>
      <c r="S380" s="12"/>
    </row>
    <row r="381" customFormat="false" ht="15" hidden="false" customHeight="false" outlineLevel="0" collapsed="false">
      <c r="A381" s="12" t="s">
        <v>3273</v>
      </c>
      <c r="B381" s="12" t="s">
        <v>1319</v>
      </c>
      <c r="C381" s="12" t="s">
        <v>2369</v>
      </c>
      <c r="D381" s="12" t="s">
        <v>2371</v>
      </c>
      <c r="E381" s="12" t="n">
        <v>13</v>
      </c>
      <c r="F381" s="12" t="n">
        <v>6</v>
      </c>
      <c r="G381" s="15" t="n">
        <v>12100</v>
      </c>
      <c r="H381" s="15" t="n">
        <v>13500</v>
      </c>
      <c r="I381" s="12" t="s">
        <v>3274</v>
      </c>
      <c r="J381" s="17" t="n">
        <v>46655</v>
      </c>
      <c r="K381" s="12" t="s">
        <v>1120</v>
      </c>
      <c r="L381" s="12" t="n">
        <v>9</v>
      </c>
      <c r="M381" s="15" t="n">
        <f aca="false">E381*G381</f>
        <v>157300</v>
      </c>
      <c r="N381" s="15" t="n">
        <f aca="false">E381*H381</f>
        <v>175500</v>
      </c>
      <c r="O381" s="18" t="n">
        <f aca="false">IF(H381=0,"",(H381-G381)/H381)</f>
        <v>0.103703703703704</v>
      </c>
      <c r="P381" s="12" t="n">
        <f aca="false">IF(J381="","",J381-README!$C$4)</f>
        <v>333</v>
      </c>
      <c r="Q381" s="12" t="str">
        <f aca="false">IF(E381=0,"Out of stock",IF(E381&lt;=F381,"Low stock","OK"))</f>
        <v>OK</v>
      </c>
      <c r="R381" s="12" t="str">
        <f aca="false">IF(J381="","No expiry",IF(P381&lt;0,"Expired",IF(P381&lt;=30,"Expiring &lt;=30 days","OK")))</f>
        <v>OK</v>
      </c>
      <c r="S381" s="12"/>
    </row>
    <row r="382" customFormat="false" ht="15" hidden="false" customHeight="false" outlineLevel="0" collapsed="false">
      <c r="A382" s="12" t="s">
        <v>3275</v>
      </c>
      <c r="B382" s="12" t="s">
        <v>1319</v>
      </c>
      <c r="C382" s="12" t="s">
        <v>2377</v>
      </c>
      <c r="D382" s="12" t="s">
        <v>2378</v>
      </c>
      <c r="E382" s="12" t="n">
        <v>29</v>
      </c>
      <c r="F382" s="12" t="n">
        <v>6</v>
      </c>
      <c r="G382" s="15" t="n">
        <v>2800</v>
      </c>
      <c r="H382" s="15" t="n">
        <v>3200</v>
      </c>
      <c r="I382" s="12" t="s">
        <v>3276</v>
      </c>
      <c r="J382" s="17" t="n">
        <v>46654</v>
      </c>
      <c r="K382" s="12" t="s">
        <v>1120</v>
      </c>
      <c r="L382" s="12" t="n">
        <v>20</v>
      </c>
      <c r="M382" s="15" t="n">
        <f aca="false">E382*G382</f>
        <v>81200</v>
      </c>
      <c r="N382" s="15" t="n">
        <f aca="false">E382*H382</f>
        <v>92800</v>
      </c>
      <c r="O382" s="18" t="n">
        <f aca="false">IF(H382=0,"",(H382-G382)/H382)</f>
        <v>0.125</v>
      </c>
      <c r="P382" s="12" t="n">
        <f aca="false">IF(J382="","",J382-README!$C$4)</f>
        <v>332</v>
      </c>
      <c r="Q382" s="12" t="str">
        <f aca="false">IF(E382=0,"Out of stock",IF(E382&lt;=F382,"Low stock","OK"))</f>
        <v>OK</v>
      </c>
      <c r="R382" s="12" t="str">
        <f aca="false">IF(J382="","No expiry",IF(P382&lt;0,"Expired",IF(P382&lt;=30,"Expiring &lt;=30 days","OK")))</f>
        <v>OK</v>
      </c>
      <c r="S382" s="12"/>
    </row>
    <row r="383" customFormat="false" ht="15" hidden="false" customHeight="false" outlineLevel="0" collapsed="false">
      <c r="A383" s="12" t="s">
        <v>3277</v>
      </c>
      <c r="B383" s="12" t="s">
        <v>1319</v>
      </c>
      <c r="C383" s="12" t="s">
        <v>2380</v>
      </c>
      <c r="D383" s="12" t="s">
        <v>2382</v>
      </c>
      <c r="E383" s="12" t="n">
        <v>16</v>
      </c>
      <c r="F383" s="12" t="n">
        <v>6</v>
      </c>
      <c r="G383" s="15" t="n">
        <v>4500</v>
      </c>
      <c r="H383" s="15" t="n">
        <v>5200</v>
      </c>
      <c r="I383" s="12" t="s">
        <v>3278</v>
      </c>
      <c r="J383" s="17" t="n">
        <v>46473</v>
      </c>
      <c r="K383" s="12" t="s">
        <v>1120</v>
      </c>
      <c r="L383" s="12" t="n">
        <v>11</v>
      </c>
      <c r="M383" s="15" t="n">
        <f aca="false">E383*G383</f>
        <v>72000</v>
      </c>
      <c r="N383" s="15" t="n">
        <f aca="false">E383*H383</f>
        <v>83200</v>
      </c>
      <c r="O383" s="18" t="n">
        <f aca="false">IF(H383=0,"",(H383-G383)/H383)</f>
        <v>0.134615384615385</v>
      </c>
      <c r="P383" s="12" t="n">
        <f aca="false">IF(J383="","",J383-README!$C$4)</f>
        <v>151</v>
      </c>
      <c r="Q383" s="12" t="str">
        <f aca="false">IF(E383=0,"Out of stock",IF(E383&lt;=F383,"Low stock","OK"))</f>
        <v>OK</v>
      </c>
      <c r="R383" s="12" t="str">
        <f aca="false">IF(J383="","No expiry",IF(P383&lt;0,"Expired",IF(P383&lt;=30,"Expiring &lt;=30 days","OK")))</f>
        <v>OK</v>
      </c>
      <c r="S383" s="12"/>
    </row>
    <row r="384" customFormat="false" ht="15" hidden="false" customHeight="false" outlineLevel="0" collapsed="false">
      <c r="A384" s="12" t="s">
        <v>3279</v>
      </c>
      <c r="B384" s="12" t="s">
        <v>1319</v>
      </c>
      <c r="C384" s="12" t="s">
        <v>2387</v>
      </c>
      <c r="D384" s="12" t="s">
        <v>2388</v>
      </c>
      <c r="E384" s="12" t="n">
        <v>18</v>
      </c>
      <c r="F384" s="12" t="n">
        <v>6</v>
      </c>
      <c r="G384" s="15" t="n">
        <v>22000</v>
      </c>
      <c r="H384" s="15" t="n">
        <v>26000</v>
      </c>
      <c r="I384" s="12" t="s">
        <v>3280</v>
      </c>
      <c r="J384" s="17" t="n">
        <v>46398</v>
      </c>
      <c r="K384" s="12" t="s">
        <v>1120</v>
      </c>
      <c r="L384" s="12" t="n">
        <v>12</v>
      </c>
      <c r="M384" s="15" t="n">
        <f aca="false">E384*G384</f>
        <v>396000</v>
      </c>
      <c r="N384" s="15" t="n">
        <f aca="false">E384*H384</f>
        <v>468000</v>
      </c>
      <c r="O384" s="18" t="n">
        <f aca="false">IF(H384=0,"",(H384-G384)/H384)</f>
        <v>0.153846153846154</v>
      </c>
      <c r="P384" s="12" t="n">
        <f aca="false">IF(J384="","",J384-README!$C$4)</f>
        <v>76</v>
      </c>
      <c r="Q384" s="12" t="str">
        <f aca="false">IF(E384=0,"Out of stock",IF(E384&lt;=F384,"Low stock","OK"))</f>
        <v>OK</v>
      </c>
      <c r="R384" s="12" t="str">
        <f aca="false">IF(J384="","No expiry",IF(P384&lt;0,"Expired",IF(P384&lt;=30,"Expiring &lt;=30 days","OK")))</f>
        <v>OK</v>
      </c>
      <c r="S384" s="12"/>
    </row>
    <row r="385" customFormat="false" ht="15" hidden="false" customHeight="false" outlineLevel="0" collapsed="false">
      <c r="A385" s="12" t="s">
        <v>3281</v>
      </c>
      <c r="B385" s="12" t="s">
        <v>1319</v>
      </c>
      <c r="C385" s="12" t="s">
        <v>2384</v>
      </c>
      <c r="D385" s="12" t="s">
        <v>2385</v>
      </c>
      <c r="E385" s="12" t="n">
        <v>10</v>
      </c>
      <c r="F385" s="12" t="n">
        <v>6</v>
      </c>
      <c r="G385" s="15" t="n">
        <v>12200</v>
      </c>
      <c r="H385" s="15" t="n">
        <v>14500</v>
      </c>
      <c r="I385" s="12" t="s">
        <v>3282</v>
      </c>
      <c r="J385" s="17" t="n">
        <v>46486</v>
      </c>
      <c r="K385" s="12" t="s">
        <v>1111</v>
      </c>
      <c r="L385" s="12" t="n">
        <v>0</v>
      </c>
      <c r="M385" s="15" t="n">
        <f aca="false">E385*G385</f>
        <v>122000</v>
      </c>
      <c r="N385" s="15" t="n">
        <f aca="false">E385*H385</f>
        <v>145000</v>
      </c>
      <c r="O385" s="18" t="n">
        <f aca="false">IF(H385=0,"",(H385-G385)/H385)</f>
        <v>0.158620689655172</v>
      </c>
      <c r="P385" s="12" t="n">
        <f aca="false">IF(J385="","",J385-README!$C$4)</f>
        <v>164</v>
      </c>
      <c r="Q385" s="12" t="str">
        <f aca="false">IF(E385=0,"Out of stock",IF(E385&lt;=F385,"Low stock","OK"))</f>
        <v>OK</v>
      </c>
      <c r="R385" s="12" t="str">
        <f aca="false">IF(J385="","No expiry",IF(P385&lt;0,"Expired",IF(P385&lt;=30,"Expiring &lt;=30 days","OK")))</f>
        <v>OK</v>
      </c>
      <c r="S385" s="12"/>
    </row>
    <row r="386" customFormat="false" ht="15" hidden="false" customHeight="false" outlineLevel="0" collapsed="false">
      <c r="A386" s="12" t="s">
        <v>3283</v>
      </c>
      <c r="B386" s="12" t="s">
        <v>1319</v>
      </c>
      <c r="C386" s="12" t="s">
        <v>2393</v>
      </c>
      <c r="D386" s="12" t="s">
        <v>2394</v>
      </c>
      <c r="E386" s="12" t="n">
        <v>21</v>
      </c>
      <c r="F386" s="12" t="n">
        <v>6</v>
      </c>
      <c r="G386" s="15" t="n">
        <v>21200</v>
      </c>
      <c r="H386" s="15" t="n">
        <v>26000</v>
      </c>
      <c r="I386" s="12" t="s">
        <v>3284</v>
      </c>
      <c r="J386" s="17" t="n">
        <v>46510</v>
      </c>
      <c r="K386" s="12" t="s">
        <v>1120</v>
      </c>
      <c r="L386" s="12" t="n">
        <v>14</v>
      </c>
      <c r="M386" s="15" t="n">
        <f aca="false">E386*G386</f>
        <v>445200</v>
      </c>
      <c r="N386" s="15" t="n">
        <f aca="false">E386*H386</f>
        <v>546000</v>
      </c>
      <c r="O386" s="18" t="n">
        <f aca="false">IF(H386=0,"",(H386-G386)/H386)</f>
        <v>0.184615384615385</v>
      </c>
      <c r="P386" s="12" t="n">
        <f aca="false">IF(J386="","",J386-README!$C$4)</f>
        <v>188</v>
      </c>
      <c r="Q386" s="12" t="str">
        <f aca="false">IF(E386=0,"Out of stock",IF(E386&lt;=F386,"Low stock","OK"))</f>
        <v>OK</v>
      </c>
      <c r="R386" s="12" t="str">
        <f aca="false">IF(J386="","No expiry",IF(P386&lt;0,"Expired",IF(P386&lt;=30,"Expiring &lt;=30 days","OK")))</f>
        <v>OK</v>
      </c>
      <c r="S386" s="12"/>
    </row>
    <row r="387" customFormat="false" ht="15" hidden="false" customHeight="false" outlineLevel="0" collapsed="false">
      <c r="A387" s="12" t="s">
        <v>3285</v>
      </c>
      <c r="B387" s="12" t="s">
        <v>1319</v>
      </c>
      <c r="C387" s="12" t="s">
        <v>2390</v>
      </c>
      <c r="D387" s="12" t="s">
        <v>2391</v>
      </c>
      <c r="E387" s="12" t="n">
        <v>32</v>
      </c>
      <c r="F387" s="12" t="n">
        <v>6</v>
      </c>
      <c r="G387" s="15" t="n">
        <v>4600</v>
      </c>
      <c r="H387" s="15" t="n">
        <v>5200</v>
      </c>
      <c r="I387" s="12" t="s">
        <v>3286</v>
      </c>
      <c r="J387" s="17" t="n">
        <v>46393</v>
      </c>
      <c r="K387" s="12" t="s">
        <v>1120</v>
      </c>
      <c r="L387" s="12" t="n">
        <v>22</v>
      </c>
      <c r="M387" s="15" t="n">
        <f aca="false">E387*G387</f>
        <v>147200</v>
      </c>
      <c r="N387" s="15" t="n">
        <f aca="false">E387*H387</f>
        <v>166400</v>
      </c>
      <c r="O387" s="18" t="n">
        <f aca="false">IF(H387=0,"",(H387-G387)/H387)</f>
        <v>0.115384615384615</v>
      </c>
      <c r="P387" s="12" t="n">
        <f aca="false">IF(J387="","",J387-README!$C$4)</f>
        <v>71</v>
      </c>
      <c r="Q387" s="12" t="str">
        <f aca="false">IF(E387=0,"Out of stock",IF(E387&lt;=F387,"Low stock","OK"))</f>
        <v>OK</v>
      </c>
      <c r="R387" s="12" t="str">
        <f aca="false">IF(J387="","No expiry",IF(P387&lt;0,"Expired",IF(P387&lt;=30,"Expiring &lt;=30 days","OK")))</f>
        <v>OK</v>
      </c>
      <c r="S387" s="12"/>
    </row>
    <row r="388" customFormat="false" ht="15" hidden="false" customHeight="false" outlineLevel="0" collapsed="false">
      <c r="A388" s="12" t="s">
        <v>3287</v>
      </c>
      <c r="B388" s="12" t="s">
        <v>1319</v>
      </c>
      <c r="C388" s="12" t="s">
        <v>2396</v>
      </c>
      <c r="D388" s="12" t="s">
        <v>2397</v>
      </c>
      <c r="E388" s="12" t="n">
        <v>9</v>
      </c>
      <c r="F388" s="12" t="n">
        <v>6</v>
      </c>
      <c r="G388" s="15" t="n">
        <v>41200</v>
      </c>
      <c r="H388" s="15" t="n">
        <v>47000</v>
      </c>
      <c r="I388" s="12" t="s">
        <v>3288</v>
      </c>
      <c r="J388" s="17" t="n">
        <v>46413</v>
      </c>
      <c r="K388" s="12" t="s">
        <v>1120</v>
      </c>
      <c r="L388" s="12" t="n">
        <v>6</v>
      </c>
      <c r="M388" s="15" t="n">
        <f aca="false">E388*G388</f>
        <v>370800</v>
      </c>
      <c r="N388" s="15" t="n">
        <f aca="false">E388*H388</f>
        <v>423000</v>
      </c>
      <c r="O388" s="18" t="n">
        <f aca="false">IF(H388=0,"",(H388-G388)/H388)</f>
        <v>0.123404255319149</v>
      </c>
      <c r="P388" s="12" t="n">
        <f aca="false">IF(J388="","",J388-README!$C$4)</f>
        <v>91</v>
      </c>
      <c r="Q388" s="12" t="str">
        <f aca="false">IF(E388=0,"Out of stock",IF(E388&lt;=F388,"Low stock","OK"))</f>
        <v>OK</v>
      </c>
      <c r="R388" s="12" t="str">
        <f aca="false">IF(J388="","No expiry",IF(P388&lt;0,"Expired",IF(P388&lt;=30,"Expiring &lt;=30 days","OK")))</f>
        <v>OK</v>
      </c>
      <c r="S388" s="12"/>
    </row>
    <row r="389" customFormat="false" ht="15" hidden="false" customHeight="false" outlineLevel="0" collapsed="false">
      <c r="A389" s="12" t="s">
        <v>3289</v>
      </c>
      <c r="B389" s="12" t="s">
        <v>1319</v>
      </c>
      <c r="C389" s="12" t="s">
        <v>2399</v>
      </c>
      <c r="D389" s="12" t="s">
        <v>2400</v>
      </c>
      <c r="E389" s="12" t="n">
        <v>9</v>
      </c>
      <c r="F389" s="12" t="n">
        <v>6</v>
      </c>
      <c r="G389" s="15" t="n">
        <v>27800</v>
      </c>
      <c r="H389" s="15" t="n">
        <v>31500</v>
      </c>
      <c r="I389" s="12" t="s">
        <v>3290</v>
      </c>
      <c r="J389" s="17" t="n">
        <v>46501</v>
      </c>
      <c r="K389" s="12" t="s">
        <v>1120</v>
      </c>
      <c r="L389" s="12" t="n">
        <v>6</v>
      </c>
      <c r="M389" s="15" t="n">
        <f aca="false">E389*G389</f>
        <v>250200</v>
      </c>
      <c r="N389" s="15" t="n">
        <f aca="false">E389*H389</f>
        <v>283500</v>
      </c>
      <c r="O389" s="18" t="n">
        <f aca="false">IF(H389=0,"",(H389-G389)/H389)</f>
        <v>0.117460317460317</v>
      </c>
      <c r="P389" s="12" t="n">
        <f aca="false">IF(J389="","",J389-README!$C$4)</f>
        <v>179</v>
      </c>
      <c r="Q389" s="12" t="str">
        <f aca="false">IF(E389=0,"Out of stock",IF(E389&lt;=F389,"Low stock","OK"))</f>
        <v>OK</v>
      </c>
      <c r="R389" s="12" t="str">
        <f aca="false">IF(J389="","No expiry",IF(P389&lt;0,"Expired",IF(P389&lt;=30,"Expiring &lt;=30 days","OK")))</f>
        <v>OK</v>
      </c>
      <c r="S389" s="12"/>
    </row>
    <row r="390" customFormat="false" ht="15" hidden="false" customHeight="false" outlineLevel="0" collapsed="false">
      <c r="A390" s="12" t="s">
        <v>3291</v>
      </c>
      <c r="B390" s="12" t="s">
        <v>1319</v>
      </c>
      <c r="C390" s="12" t="s">
        <v>2402</v>
      </c>
      <c r="D390" s="12" t="s">
        <v>2404</v>
      </c>
      <c r="E390" s="12" t="n">
        <v>25</v>
      </c>
      <c r="F390" s="12" t="n">
        <v>6</v>
      </c>
      <c r="G390" s="15" t="n">
        <v>50900</v>
      </c>
      <c r="H390" s="15" t="n">
        <v>58000</v>
      </c>
      <c r="I390" s="12" t="s">
        <v>3292</v>
      </c>
      <c r="J390" s="17" t="n">
        <v>46392</v>
      </c>
      <c r="K390" s="12" t="s">
        <v>1120</v>
      </c>
      <c r="L390" s="12" t="n">
        <v>17</v>
      </c>
      <c r="M390" s="15" t="n">
        <f aca="false">E390*G390</f>
        <v>1272500</v>
      </c>
      <c r="N390" s="15" t="n">
        <f aca="false">E390*H390</f>
        <v>1450000</v>
      </c>
      <c r="O390" s="18" t="n">
        <f aca="false">IF(H390=0,"",(H390-G390)/H390)</f>
        <v>0.122413793103448</v>
      </c>
      <c r="P390" s="12" t="n">
        <f aca="false">IF(J390="","",J390-README!$C$4)</f>
        <v>70</v>
      </c>
      <c r="Q390" s="12" t="str">
        <f aca="false">IF(E390=0,"Out of stock",IF(E390&lt;=F390,"Low stock","OK"))</f>
        <v>OK</v>
      </c>
      <c r="R390" s="12" t="str">
        <f aca="false">IF(J390="","No expiry",IF(P390&lt;0,"Expired",IF(P390&lt;=30,"Expiring &lt;=30 days","OK")))</f>
        <v>OK</v>
      </c>
      <c r="S390" s="12"/>
    </row>
    <row r="391" customFormat="false" ht="15" hidden="false" customHeight="false" outlineLevel="0" collapsed="false">
      <c r="A391" s="12" t="s">
        <v>3293</v>
      </c>
      <c r="B391" s="12" t="s">
        <v>1319</v>
      </c>
      <c r="C391" s="12" t="s">
        <v>2406</v>
      </c>
      <c r="D391" s="12" t="s">
        <v>2407</v>
      </c>
      <c r="E391" s="12" t="n">
        <v>21</v>
      </c>
      <c r="F391" s="12" t="n">
        <v>6</v>
      </c>
      <c r="G391" s="15" t="n">
        <v>34600</v>
      </c>
      <c r="H391" s="15" t="n">
        <v>42000</v>
      </c>
      <c r="I391" s="12" t="s">
        <v>3294</v>
      </c>
      <c r="J391" s="17" t="n">
        <v>46619</v>
      </c>
      <c r="K391" s="12" t="s">
        <v>1120</v>
      </c>
      <c r="L391" s="12" t="n">
        <v>14</v>
      </c>
      <c r="M391" s="15" t="n">
        <f aca="false">E391*G391</f>
        <v>726600</v>
      </c>
      <c r="N391" s="15" t="n">
        <f aca="false">E391*H391</f>
        <v>882000</v>
      </c>
      <c r="O391" s="18" t="n">
        <f aca="false">IF(H391=0,"",(H391-G391)/H391)</f>
        <v>0.176190476190476</v>
      </c>
      <c r="P391" s="12" t="n">
        <f aca="false">IF(J391="","",J391-README!$C$4)</f>
        <v>297</v>
      </c>
      <c r="Q391" s="12" t="str">
        <f aca="false">IF(E391=0,"Out of stock",IF(E391&lt;=F391,"Low stock","OK"))</f>
        <v>OK</v>
      </c>
      <c r="R391" s="12" t="str">
        <f aca="false">IF(J391="","No expiry",IF(P391&lt;0,"Expired",IF(P391&lt;=30,"Expiring &lt;=30 days","OK")))</f>
        <v>OK</v>
      </c>
      <c r="S391" s="12"/>
    </row>
    <row r="392" customFormat="false" ht="15" hidden="false" customHeight="false" outlineLevel="0" collapsed="false">
      <c r="A392" s="12" t="s">
        <v>3295</v>
      </c>
      <c r="B392" s="12" t="s">
        <v>1319</v>
      </c>
      <c r="C392" s="12" t="s">
        <v>2412</v>
      </c>
      <c r="D392" s="12" t="s">
        <v>2413</v>
      </c>
      <c r="E392" s="12" t="n">
        <v>38</v>
      </c>
      <c r="F392" s="12" t="n">
        <v>8</v>
      </c>
      <c r="G392" s="15" t="n">
        <v>16000</v>
      </c>
      <c r="H392" s="15" t="n">
        <v>19000</v>
      </c>
      <c r="I392" s="12" t="s">
        <v>3296</v>
      </c>
      <c r="J392" s="17" t="n">
        <v>46626</v>
      </c>
      <c r="K392" s="12" t="s">
        <v>1120</v>
      </c>
      <c r="L392" s="12" t="n">
        <v>26</v>
      </c>
      <c r="M392" s="15" t="n">
        <f aca="false">E392*G392</f>
        <v>608000</v>
      </c>
      <c r="N392" s="15" t="n">
        <f aca="false">E392*H392</f>
        <v>722000</v>
      </c>
      <c r="O392" s="18" t="n">
        <f aca="false">IF(H392=0,"",(H392-G392)/H392)</f>
        <v>0.157894736842105</v>
      </c>
      <c r="P392" s="12" t="n">
        <f aca="false">IF(J392="","",J392-README!$C$4)</f>
        <v>304</v>
      </c>
      <c r="Q392" s="12" t="str">
        <f aca="false">IF(E392=0,"Out of stock",IF(E392&lt;=F392,"Low stock","OK"))</f>
        <v>OK</v>
      </c>
      <c r="R392" s="12" t="str">
        <f aca="false">IF(J392="","No expiry",IF(P392&lt;0,"Expired",IF(P392&lt;=30,"Expiring &lt;=30 days","OK")))</f>
        <v>OK</v>
      </c>
      <c r="S392" s="12"/>
    </row>
    <row r="393" customFormat="false" ht="15" hidden="false" customHeight="false" outlineLevel="0" collapsed="false">
      <c r="A393" s="12" t="s">
        <v>3297</v>
      </c>
      <c r="B393" s="12" t="s">
        <v>1319</v>
      </c>
      <c r="C393" s="12" t="s">
        <v>2415</v>
      </c>
      <c r="D393" s="12" t="s">
        <v>2417</v>
      </c>
      <c r="E393" s="12" t="n">
        <v>7</v>
      </c>
      <c r="F393" s="12" t="n">
        <v>3</v>
      </c>
      <c r="G393" s="15" t="n">
        <v>70900</v>
      </c>
      <c r="H393" s="15" t="n">
        <v>84000</v>
      </c>
      <c r="I393" s="12" t="s">
        <v>3298</v>
      </c>
      <c r="J393" s="17" t="n">
        <v>46629</v>
      </c>
      <c r="K393" s="12" t="s">
        <v>1120</v>
      </c>
      <c r="L393" s="12" t="n">
        <v>4</v>
      </c>
      <c r="M393" s="15" t="n">
        <f aca="false">E393*G393</f>
        <v>496300</v>
      </c>
      <c r="N393" s="15" t="n">
        <f aca="false">E393*H393</f>
        <v>588000</v>
      </c>
      <c r="O393" s="18" t="n">
        <f aca="false">IF(H393=0,"",(H393-G393)/H393)</f>
        <v>0.155952380952381</v>
      </c>
      <c r="P393" s="12" t="n">
        <f aca="false">IF(J393="","",J393-README!$C$4)</f>
        <v>307</v>
      </c>
      <c r="Q393" s="12" t="str">
        <f aca="false">IF(E393=0,"Out of stock",IF(E393&lt;=F393,"Low stock","OK"))</f>
        <v>OK</v>
      </c>
      <c r="R393" s="12" t="str">
        <f aca="false">IF(J393="","No expiry",IF(P393&lt;0,"Expired",IF(P393&lt;=30,"Expiring &lt;=30 days","OK")))</f>
        <v>OK</v>
      </c>
      <c r="S393" s="12"/>
    </row>
    <row r="394" customFormat="false" ht="15" hidden="false" customHeight="false" outlineLevel="0" collapsed="false">
      <c r="A394" s="12" t="s">
        <v>3299</v>
      </c>
      <c r="B394" s="12" t="s">
        <v>1319</v>
      </c>
      <c r="C394" s="12" t="s">
        <v>2419</v>
      </c>
      <c r="D394" s="12" t="s">
        <v>2420</v>
      </c>
      <c r="E394" s="12" t="n">
        <v>22</v>
      </c>
      <c r="F394" s="12" t="n">
        <v>8</v>
      </c>
      <c r="G394" s="15" t="n">
        <v>21900</v>
      </c>
      <c r="H394" s="15" t="n">
        <v>26000</v>
      </c>
      <c r="I394" s="12" t="s">
        <v>3300</v>
      </c>
      <c r="J394" s="17" t="n">
        <v>47204</v>
      </c>
      <c r="K394" s="12" t="s">
        <v>1120</v>
      </c>
      <c r="L394" s="12" t="n">
        <v>15</v>
      </c>
      <c r="M394" s="15" t="n">
        <f aca="false">E394*G394</f>
        <v>481800</v>
      </c>
      <c r="N394" s="15" t="n">
        <f aca="false">E394*H394</f>
        <v>572000</v>
      </c>
      <c r="O394" s="18" t="n">
        <f aca="false">IF(H394=0,"",(H394-G394)/H394)</f>
        <v>0.157692307692308</v>
      </c>
      <c r="P394" s="12" t="n">
        <f aca="false">IF(J394="","",J394-README!$C$4)</f>
        <v>882</v>
      </c>
      <c r="Q394" s="12" t="str">
        <f aca="false">IF(E394=0,"Out of stock",IF(E394&lt;=F394,"Low stock","OK"))</f>
        <v>OK</v>
      </c>
      <c r="R394" s="12" t="str">
        <f aca="false">IF(J394="","No expiry",IF(P394&lt;0,"Expired",IF(P394&lt;=30,"Expiring &lt;=30 days","OK")))</f>
        <v>OK</v>
      </c>
      <c r="S394" s="12"/>
    </row>
    <row r="395" customFormat="false" ht="15" hidden="false" customHeight="false" outlineLevel="0" collapsed="false">
      <c r="A395" s="12" t="s">
        <v>3301</v>
      </c>
      <c r="B395" s="12" t="s">
        <v>1319</v>
      </c>
      <c r="C395" s="12" t="s">
        <v>2422</v>
      </c>
      <c r="D395" s="12" t="s">
        <v>2424</v>
      </c>
      <c r="E395" s="12" t="n">
        <v>7</v>
      </c>
      <c r="F395" s="12" t="n">
        <v>2</v>
      </c>
      <c r="G395" s="15" t="n">
        <v>14000</v>
      </c>
      <c r="H395" s="15" t="n">
        <v>16000</v>
      </c>
      <c r="I395" s="12" t="s">
        <v>3302</v>
      </c>
      <c r="J395" s="17" t="n">
        <v>46813</v>
      </c>
      <c r="K395" s="12" t="s">
        <v>1120</v>
      </c>
      <c r="L395" s="12" t="n">
        <v>4</v>
      </c>
      <c r="M395" s="15" t="n">
        <f aca="false">E395*G395</f>
        <v>98000</v>
      </c>
      <c r="N395" s="15" t="n">
        <f aca="false">E395*H395</f>
        <v>112000</v>
      </c>
      <c r="O395" s="18" t="n">
        <f aca="false">IF(H395=0,"",(H395-G395)/H395)</f>
        <v>0.125</v>
      </c>
      <c r="P395" s="12" t="n">
        <f aca="false">IF(J395="","",J395-README!$C$4)</f>
        <v>491</v>
      </c>
      <c r="Q395" s="12" t="str">
        <f aca="false">IF(E395=0,"Out of stock",IF(E395&lt;=F395,"Low stock","OK"))</f>
        <v>OK</v>
      </c>
      <c r="R395" s="12" t="str">
        <f aca="false">IF(J395="","No expiry",IF(P395&lt;0,"Expired",IF(P395&lt;=30,"Expiring &lt;=30 days","OK")))</f>
        <v>OK</v>
      </c>
      <c r="S395" s="12"/>
    </row>
    <row r="396" customFormat="false" ht="15" hidden="false" customHeight="false" outlineLevel="0" collapsed="false">
      <c r="A396" s="12" t="s">
        <v>3303</v>
      </c>
      <c r="B396" s="12" t="s">
        <v>1319</v>
      </c>
      <c r="C396" s="12" t="s">
        <v>2429</v>
      </c>
      <c r="D396" s="12" t="s">
        <v>2431</v>
      </c>
      <c r="E396" s="12" t="n">
        <v>30</v>
      </c>
      <c r="F396" s="12" t="n">
        <v>4</v>
      </c>
      <c r="G396" s="15" t="n">
        <v>4200</v>
      </c>
      <c r="H396" s="15" t="n">
        <v>5200</v>
      </c>
      <c r="I396" s="12"/>
      <c r="J396" s="17"/>
      <c r="K396" s="12" t="s">
        <v>1120</v>
      </c>
      <c r="L396" s="12" t="n">
        <v>21</v>
      </c>
      <c r="M396" s="15" t="n">
        <f aca="false">E396*G396</f>
        <v>126000</v>
      </c>
      <c r="N396" s="15" t="n">
        <f aca="false">E396*H396</f>
        <v>156000</v>
      </c>
      <c r="O396" s="18" t="n">
        <f aca="false">IF(H396=0,"",(H396-G396)/H396)</f>
        <v>0.192307692307692</v>
      </c>
      <c r="P396" s="12" t="str">
        <f aca="false">IF(J396="","",J396-README!$C$4)</f>
        <v/>
      </c>
      <c r="Q396" s="12" t="str">
        <f aca="false">IF(E396=0,"Out of stock",IF(E396&lt;=F396,"Low stock","OK"))</f>
        <v>OK</v>
      </c>
      <c r="R396" s="12" t="str">
        <f aca="false">IF(J396="","No expiry",IF(P396&lt;0,"Expired",IF(P396&lt;=30,"Expiring &lt;=30 days","OK")))</f>
        <v>No expiry</v>
      </c>
      <c r="S396" s="12"/>
    </row>
    <row r="397" customFormat="false" ht="15" hidden="false" customHeight="false" outlineLevel="0" collapsed="false">
      <c r="A397" s="12" t="s">
        <v>3304</v>
      </c>
      <c r="B397" s="12" t="s">
        <v>1319</v>
      </c>
      <c r="C397" s="12" t="s">
        <v>2437</v>
      </c>
      <c r="D397" s="12" t="s">
        <v>2439</v>
      </c>
      <c r="E397" s="12" t="n">
        <v>28</v>
      </c>
      <c r="F397" s="12" t="n">
        <v>4</v>
      </c>
      <c r="G397" s="15" t="n">
        <v>10200</v>
      </c>
      <c r="H397" s="15" t="n">
        <v>12500</v>
      </c>
      <c r="I397" s="12"/>
      <c r="J397" s="17"/>
      <c r="K397" s="12" t="s">
        <v>1120</v>
      </c>
      <c r="L397" s="12" t="n">
        <v>19</v>
      </c>
      <c r="M397" s="15" t="n">
        <f aca="false">E397*G397</f>
        <v>285600</v>
      </c>
      <c r="N397" s="15" t="n">
        <f aca="false">E397*H397</f>
        <v>350000</v>
      </c>
      <c r="O397" s="18" t="n">
        <f aca="false">IF(H397=0,"",(H397-G397)/H397)</f>
        <v>0.184</v>
      </c>
      <c r="P397" s="12" t="str">
        <f aca="false">IF(J397="","",J397-README!$C$4)</f>
        <v/>
      </c>
      <c r="Q397" s="12" t="str">
        <f aca="false">IF(E397=0,"Out of stock",IF(E397&lt;=F397,"Low stock","OK"))</f>
        <v>OK</v>
      </c>
      <c r="R397" s="12" t="str">
        <f aca="false">IF(J397="","No expiry",IF(P397&lt;0,"Expired",IF(P397&lt;=30,"Expiring &lt;=30 days","OK")))</f>
        <v>No expiry</v>
      </c>
      <c r="S397" s="12"/>
    </row>
    <row r="398" customFormat="false" ht="15" hidden="false" customHeight="false" outlineLevel="0" collapsed="false">
      <c r="A398" s="12" t="s">
        <v>3305</v>
      </c>
      <c r="B398" s="12" t="s">
        <v>1319</v>
      </c>
      <c r="C398" s="12" t="s">
        <v>2441</v>
      </c>
      <c r="D398" s="12" t="s">
        <v>1882</v>
      </c>
      <c r="E398" s="12" t="n">
        <v>29</v>
      </c>
      <c r="F398" s="12" t="n">
        <v>4</v>
      </c>
      <c r="G398" s="15" t="n">
        <v>2700</v>
      </c>
      <c r="H398" s="15" t="n">
        <v>3200</v>
      </c>
      <c r="I398" s="12"/>
      <c r="J398" s="17"/>
      <c r="K398" s="12" t="s">
        <v>1120</v>
      </c>
      <c r="L398" s="12" t="n">
        <v>20</v>
      </c>
      <c r="M398" s="15" t="n">
        <f aca="false">E398*G398</f>
        <v>78300</v>
      </c>
      <c r="N398" s="15" t="n">
        <f aca="false">E398*H398</f>
        <v>92800</v>
      </c>
      <c r="O398" s="18" t="n">
        <f aca="false">IF(H398=0,"",(H398-G398)/H398)</f>
        <v>0.15625</v>
      </c>
      <c r="P398" s="12" t="str">
        <f aca="false">IF(J398="","",J398-README!$C$4)</f>
        <v/>
      </c>
      <c r="Q398" s="12" t="str">
        <f aca="false">IF(E398=0,"Out of stock",IF(E398&lt;=F398,"Low stock","OK"))</f>
        <v>OK</v>
      </c>
      <c r="R398" s="12" t="str">
        <f aca="false">IF(J398="","No expiry",IF(P398&lt;0,"Expired",IF(P398&lt;=30,"Expiring &lt;=30 days","OK")))</f>
        <v>No expiry</v>
      </c>
      <c r="S398" s="12"/>
    </row>
    <row r="399" customFormat="false" ht="15" hidden="false" customHeight="false" outlineLevel="0" collapsed="false">
      <c r="A399" s="12" t="s">
        <v>3306</v>
      </c>
      <c r="B399" s="12" t="s">
        <v>1319</v>
      </c>
      <c r="C399" s="12" t="s">
        <v>2444</v>
      </c>
      <c r="D399" s="12" t="s">
        <v>1887</v>
      </c>
      <c r="E399" s="12" t="n">
        <v>9</v>
      </c>
      <c r="F399" s="12" t="n">
        <v>1</v>
      </c>
      <c r="G399" s="15" t="n">
        <v>31800</v>
      </c>
      <c r="H399" s="15" t="n">
        <v>37000</v>
      </c>
      <c r="I399" s="12"/>
      <c r="J399" s="17"/>
      <c r="K399" s="12" t="s">
        <v>1120</v>
      </c>
      <c r="L399" s="12" t="n">
        <v>6</v>
      </c>
      <c r="M399" s="15" t="n">
        <f aca="false">E399*G399</f>
        <v>286200</v>
      </c>
      <c r="N399" s="15" t="n">
        <f aca="false">E399*H399</f>
        <v>333000</v>
      </c>
      <c r="O399" s="18" t="n">
        <f aca="false">IF(H399=0,"",(H399-G399)/H399)</f>
        <v>0.140540540540541</v>
      </c>
      <c r="P399" s="12" t="str">
        <f aca="false">IF(J399="","",J399-README!$C$4)</f>
        <v/>
      </c>
      <c r="Q399" s="12" t="str">
        <f aca="false">IF(E399=0,"Out of stock",IF(E399&lt;=F399,"Low stock","OK"))</f>
        <v>OK</v>
      </c>
      <c r="R399" s="12" t="str">
        <f aca="false">IF(J399="","No expiry",IF(P399&lt;0,"Expired",IF(P399&lt;=30,"Expiring &lt;=30 days","OK")))</f>
        <v>No expiry</v>
      </c>
      <c r="S399" s="12"/>
    </row>
    <row r="400" customFormat="false" ht="15" hidden="false" customHeight="false" outlineLevel="0" collapsed="false">
      <c r="A400" s="12" t="s">
        <v>3307</v>
      </c>
      <c r="B400" s="12" t="s">
        <v>1319</v>
      </c>
      <c r="C400" s="12" t="s">
        <v>2447</v>
      </c>
      <c r="D400" s="12" t="s">
        <v>1892</v>
      </c>
      <c r="E400" s="12" t="n">
        <v>8</v>
      </c>
      <c r="F400" s="12" t="n">
        <v>4</v>
      </c>
      <c r="G400" s="15" t="n">
        <v>20900</v>
      </c>
      <c r="H400" s="15" t="n">
        <v>26000</v>
      </c>
      <c r="I400" s="12"/>
      <c r="J400" s="17"/>
      <c r="K400" s="12" t="s">
        <v>1120</v>
      </c>
      <c r="L400" s="12" t="n">
        <v>5</v>
      </c>
      <c r="M400" s="15" t="n">
        <f aca="false">E400*G400</f>
        <v>167200</v>
      </c>
      <c r="N400" s="15" t="n">
        <f aca="false">E400*H400</f>
        <v>208000</v>
      </c>
      <c r="O400" s="18" t="n">
        <f aca="false">IF(H400=0,"",(H400-G400)/H400)</f>
        <v>0.196153846153846</v>
      </c>
      <c r="P400" s="12" t="str">
        <f aca="false">IF(J400="","",J400-README!$C$4)</f>
        <v/>
      </c>
      <c r="Q400" s="12" t="str">
        <f aca="false">IF(E400=0,"Out of stock",IF(E400&lt;=F400,"Low stock","OK"))</f>
        <v>OK</v>
      </c>
      <c r="R400" s="12" t="str">
        <f aca="false">IF(J400="","No expiry",IF(P400&lt;0,"Expired",IF(P400&lt;=30,"Expiring &lt;=30 days","OK")))</f>
        <v>No expiry</v>
      </c>
      <c r="S400" s="12"/>
    </row>
    <row r="401" customFormat="false" ht="15" hidden="false" customHeight="false" outlineLevel="0" collapsed="false">
      <c r="A401" s="12" t="s">
        <v>3308</v>
      </c>
      <c r="B401" s="12" t="s">
        <v>1319</v>
      </c>
      <c r="C401" s="12" t="s">
        <v>2449</v>
      </c>
      <c r="D401" s="12" t="s">
        <v>1897</v>
      </c>
      <c r="E401" s="12" t="n">
        <v>9</v>
      </c>
      <c r="F401" s="12" t="n">
        <v>4</v>
      </c>
      <c r="G401" s="15" t="n">
        <v>16700</v>
      </c>
      <c r="H401" s="15" t="n">
        <v>19000</v>
      </c>
      <c r="I401" s="12"/>
      <c r="J401" s="17"/>
      <c r="K401" s="12" t="s">
        <v>1120</v>
      </c>
      <c r="L401" s="12" t="n">
        <v>6</v>
      </c>
      <c r="M401" s="15" t="n">
        <f aca="false">E401*G401</f>
        <v>150300</v>
      </c>
      <c r="N401" s="15" t="n">
        <f aca="false">E401*H401</f>
        <v>171000</v>
      </c>
      <c r="O401" s="18" t="n">
        <f aca="false">IF(H401=0,"",(H401-G401)/H401)</f>
        <v>0.121052631578947</v>
      </c>
      <c r="P401" s="12" t="str">
        <f aca="false">IF(J401="","",J401-README!$C$4)</f>
        <v/>
      </c>
      <c r="Q401" s="12" t="str">
        <f aca="false">IF(E401=0,"Out of stock",IF(E401&lt;=F401,"Low stock","OK"))</f>
        <v>OK</v>
      </c>
      <c r="R401" s="12" t="str">
        <f aca="false">IF(J401="","No expiry",IF(P401&lt;0,"Expired",IF(P401&lt;=30,"Expiring &lt;=30 days","OK")))</f>
        <v>No expiry</v>
      </c>
      <c r="S401" s="12"/>
    </row>
    <row r="402" customFormat="false" ht="15" hidden="false" customHeight="false" outlineLevel="0" collapsed="false">
      <c r="A402" s="12" t="s">
        <v>3309</v>
      </c>
      <c r="B402" s="12" t="s">
        <v>1319</v>
      </c>
      <c r="C402" s="12" t="s">
        <v>2451</v>
      </c>
      <c r="D402" s="12" t="s">
        <v>1903</v>
      </c>
      <c r="E402" s="12" t="n">
        <v>10</v>
      </c>
      <c r="F402" s="12" t="n">
        <v>4</v>
      </c>
      <c r="G402" s="15" t="n">
        <v>30200</v>
      </c>
      <c r="H402" s="15" t="n">
        <v>37000</v>
      </c>
      <c r="I402" s="12"/>
      <c r="J402" s="17"/>
      <c r="K402" s="12" t="s">
        <v>1120</v>
      </c>
      <c r="L402" s="12" t="n">
        <v>7</v>
      </c>
      <c r="M402" s="15" t="n">
        <f aca="false">E402*G402</f>
        <v>302000</v>
      </c>
      <c r="N402" s="15" t="n">
        <f aca="false">E402*H402</f>
        <v>370000</v>
      </c>
      <c r="O402" s="18" t="n">
        <f aca="false">IF(H402=0,"",(H402-G402)/H402)</f>
        <v>0.183783783783784</v>
      </c>
      <c r="P402" s="12" t="str">
        <f aca="false">IF(J402="","",J402-README!$C$4)</f>
        <v/>
      </c>
      <c r="Q402" s="12" t="str">
        <f aca="false">IF(E402=0,"Out of stock",IF(E402&lt;=F402,"Low stock","OK"))</f>
        <v>OK</v>
      </c>
      <c r="R402" s="12" t="str">
        <f aca="false">IF(J402="","No expiry",IF(P402&lt;0,"Expired",IF(P402&lt;=30,"Expiring &lt;=30 days","OK")))</f>
        <v>No expiry</v>
      </c>
      <c r="S402" s="12"/>
    </row>
    <row r="403" customFormat="false" ht="15" hidden="false" customHeight="false" outlineLevel="0" collapsed="false">
      <c r="A403" s="12" t="s">
        <v>3310</v>
      </c>
      <c r="B403" s="12" t="s">
        <v>1319</v>
      </c>
      <c r="C403" s="12" t="s">
        <v>2453</v>
      </c>
      <c r="D403" s="12" t="s">
        <v>1908</v>
      </c>
      <c r="E403" s="12" t="n">
        <v>2</v>
      </c>
      <c r="F403" s="12" t="n">
        <v>1</v>
      </c>
      <c r="G403" s="15" t="n">
        <v>603600</v>
      </c>
      <c r="H403" s="15" t="n">
        <v>682500</v>
      </c>
      <c r="I403" s="12"/>
      <c r="J403" s="17"/>
      <c r="K403" s="12" t="s">
        <v>1120</v>
      </c>
      <c r="L403" s="12" t="n">
        <v>1</v>
      </c>
      <c r="M403" s="15" t="n">
        <f aca="false">E403*G403</f>
        <v>1207200</v>
      </c>
      <c r="N403" s="15" t="n">
        <f aca="false">E403*H403</f>
        <v>1365000</v>
      </c>
      <c r="O403" s="18" t="n">
        <f aca="false">IF(H403=0,"",(H403-G403)/H403)</f>
        <v>0.115604395604396</v>
      </c>
      <c r="P403" s="12" t="str">
        <f aca="false">IF(J403="","",J403-README!$C$4)</f>
        <v/>
      </c>
      <c r="Q403" s="12" t="str">
        <f aca="false">IF(E403=0,"Out of stock",IF(E403&lt;=F403,"Low stock","OK"))</f>
        <v>OK</v>
      </c>
      <c r="R403" s="12" t="str">
        <f aca="false">IF(J403="","No expiry",IF(P403&lt;0,"Expired",IF(P403&lt;=30,"Expiring &lt;=30 days","OK")))</f>
        <v>No expiry</v>
      </c>
      <c r="S403" s="12"/>
    </row>
    <row r="404" customFormat="false" ht="15" hidden="false" customHeight="false" outlineLevel="0" collapsed="false">
      <c r="A404" s="12" t="s">
        <v>3311</v>
      </c>
      <c r="B404" s="12" t="s">
        <v>1319</v>
      </c>
      <c r="C404" s="12" t="s">
        <v>2455</v>
      </c>
      <c r="D404" s="12" t="s">
        <v>1914</v>
      </c>
      <c r="E404" s="12" t="n">
        <v>28</v>
      </c>
      <c r="F404" s="12" t="n">
        <v>4</v>
      </c>
      <c r="G404" s="15" t="n">
        <v>159200</v>
      </c>
      <c r="H404" s="15" t="n">
        <v>189000</v>
      </c>
      <c r="I404" s="12"/>
      <c r="J404" s="17"/>
      <c r="K404" s="12" t="s">
        <v>1120</v>
      </c>
      <c r="L404" s="12" t="n">
        <v>19</v>
      </c>
      <c r="M404" s="15" t="n">
        <f aca="false">E404*G404</f>
        <v>4457600</v>
      </c>
      <c r="N404" s="15" t="n">
        <f aca="false">E404*H404</f>
        <v>5292000</v>
      </c>
      <c r="O404" s="18" t="n">
        <f aca="false">IF(H404=0,"",(H404-G404)/H404)</f>
        <v>0.157671957671958</v>
      </c>
      <c r="P404" s="12" t="str">
        <f aca="false">IF(J404="","",J404-README!$C$4)</f>
        <v/>
      </c>
      <c r="Q404" s="12" t="str">
        <f aca="false">IF(E404=0,"Out of stock",IF(E404&lt;=F404,"Low stock","OK"))</f>
        <v>OK</v>
      </c>
      <c r="R404" s="12" t="str">
        <f aca="false">IF(J404="","No expiry",IF(P404&lt;0,"Expired",IF(P404&lt;=30,"Expiring &lt;=30 days","OK")))</f>
        <v>No expiry</v>
      </c>
      <c r="S404" s="12"/>
    </row>
    <row r="405" customFormat="false" ht="15" hidden="false" customHeight="false" outlineLevel="0" collapsed="false">
      <c r="A405" s="12" t="s">
        <v>3312</v>
      </c>
      <c r="B405" s="12" t="s">
        <v>1319</v>
      </c>
      <c r="C405" s="12" t="s">
        <v>2457</v>
      </c>
      <c r="D405" s="12" t="s">
        <v>1919</v>
      </c>
      <c r="E405" s="12" t="n">
        <v>2</v>
      </c>
      <c r="F405" s="12" t="n">
        <v>1</v>
      </c>
      <c r="G405" s="15" t="n">
        <v>345200</v>
      </c>
      <c r="H405" s="15" t="n">
        <v>399000</v>
      </c>
      <c r="I405" s="12"/>
      <c r="J405" s="17"/>
      <c r="K405" s="12" t="s">
        <v>1120</v>
      </c>
      <c r="L405" s="12" t="n">
        <v>1</v>
      </c>
      <c r="M405" s="15" t="n">
        <f aca="false">E405*G405</f>
        <v>690400</v>
      </c>
      <c r="N405" s="15" t="n">
        <f aca="false">E405*H405</f>
        <v>798000</v>
      </c>
      <c r="O405" s="18" t="n">
        <f aca="false">IF(H405=0,"",(H405-G405)/H405)</f>
        <v>0.13483709273183</v>
      </c>
      <c r="P405" s="12" t="str">
        <f aca="false">IF(J405="","",J405-README!$C$4)</f>
        <v/>
      </c>
      <c r="Q405" s="12" t="str">
        <f aca="false">IF(E405=0,"Out of stock",IF(E405&lt;=F405,"Low stock","OK"))</f>
        <v>OK</v>
      </c>
      <c r="R405" s="12" t="str">
        <f aca="false">IF(J405="","No expiry",IF(P405&lt;0,"Expired",IF(P405&lt;=30,"Expiring &lt;=30 days","OK")))</f>
        <v>No expiry</v>
      </c>
      <c r="S405" s="12"/>
    </row>
    <row r="406" customFormat="false" ht="15" hidden="false" customHeight="false" outlineLevel="0" collapsed="false">
      <c r="A406" s="12" t="s">
        <v>3313</v>
      </c>
      <c r="B406" s="12" t="s">
        <v>1319</v>
      </c>
      <c r="C406" s="12" t="s">
        <v>2459</v>
      </c>
      <c r="D406" s="12" t="s">
        <v>1925</v>
      </c>
      <c r="E406" s="12" t="n">
        <v>8</v>
      </c>
      <c r="F406" s="12" t="n">
        <v>1</v>
      </c>
      <c r="G406" s="15" t="n">
        <v>1660800</v>
      </c>
      <c r="H406" s="15" t="n">
        <v>2047500</v>
      </c>
      <c r="I406" s="12"/>
      <c r="J406" s="17"/>
      <c r="K406" s="12" t="s">
        <v>1120</v>
      </c>
      <c r="L406" s="12" t="n">
        <v>5</v>
      </c>
      <c r="M406" s="15" t="n">
        <f aca="false">E406*G406</f>
        <v>13286400</v>
      </c>
      <c r="N406" s="15" t="n">
        <f aca="false">E406*H406</f>
        <v>16380000</v>
      </c>
      <c r="O406" s="18" t="n">
        <f aca="false">IF(H406=0,"",(H406-G406)/H406)</f>
        <v>0.188864468864469</v>
      </c>
      <c r="P406" s="12" t="str">
        <f aca="false">IF(J406="","",J406-README!$C$4)</f>
        <v/>
      </c>
      <c r="Q406" s="12" t="str">
        <f aca="false">IF(E406=0,"Out of stock",IF(E406&lt;=F406,"Low stock","OK"))</f>
        <v>OK</v>
      </c>
      <c r="R406" s="12" t="str">
        <f aca="false">IF(J406="","No expiry",IF(P406&lt;0,"Expired",IF(P406&lt;=30,"Expiring &lt;=30 days","OK")))</f>
        <v>No expiry</v>
      </c>
      <c r="S406" s="12"/>
    </row>
    <row r="407" customFormat="false" ht="15" hidden="false" customHeight="false" outlineLevel="0" collapsed="false">
      <c r="A407" s="12" t="s">
        <v>3314</v>
      </c>
      <c r="B407" s="12" t="s">
        <v>1319</v>
      </c>
      <c r="C407" s="12" t="s">
        <v>2461</v>
      </c>
      <c r="D407" s="12" t="s">
        <v>2463</v>
      </c>
      <c r="E407" s="12" t="n">
        <v>11</v>
      </c>
      <c r="F407" s="12" t="n">
        <v>8</v>
      </c>
      <c r="G407" s="15" t="n">
        <v>32300</v>
      </c>
      <c r="H407" s="15" t="n">
        <v>37000</v>
      </c>
      <c r="I407" s="12"/>
      <c r="J407" s="17"/>
      <c r="K407" s="12" t="s">
        <v>1120</v>
      </c>
      <c r="L407" s="12" t="n">
        <v>7</v>
      </c>
      <c r="M407" s="15" t="n">
        <f aca="false">E407*G407</f>
        <v>355300</v>
      </c>
      <c r="N407" s="15" t="n">
        <f aca="false">E407*H407</f>
        <v>407000</v>
      </c>
      <c r="O407" s="18" t="n">
        <f aca="false">IF(H407=0,"",(H407-G407)/H407)</f>
        <v>0.127027027027027</v>
      </c>
      <c r="P407" s="12" t="str">
        <f aca="false">IF(J407="","",J407-README!$C$4)</f>
        <v/>
      </c>
      <c r="Q407" s="12" t="str">
        <f aca="false">IF(E407=0,"Out of stock",IF(E407&lt;=F407,"Low stock","OK"))</f>
        <v>OK</v>
      </c>
      <c r="R407" s="12" t="str">
        <f aca="false">IF(J407="","No expiry",IF(P407&lt;0,"Expired",IF(P407&lt;=30,"Expiring &lt;=30 days","OK")))</f>
        <v>No expiry</v>
      </c>
      <c r="S407" s="12"/>
    </row>
    <row r="408" customFormat="false" ht="15" hidden="false" customHeight="false" outlineLevel="0" collapsed="false">
      <c r="A408" s="12" t="s">
        <v>3315</v>
      </c>
      <c r="B408" s="12" t="s">
        <v>1319</v>
      </c>
      <c r="C408" s="12" t="s">
        <v>2467</v>
      </c>
      <c r="D408" s="12" t="s">
        <v>2468</v>
      </c>
      <c r="E408" s="12" t="n">
        <v>9</v>
      </c>
      <c r="F408" s="12" t="n">
        <v>2</v>
      </c>
      <c r="G408" s="15" t="n">
        <v>21100</v>
      </c>
      <c r="H408" s="15" t="n">
        <v>26000</v>
      </c>
      <c r="I408" s="12"/>
      <c r="J408" s="17"/>
      <c r="K408" s="12" t="s">
        <v>1120</v>
      </c>
      <c r="L408" s="12" t="n">
        <v>6</v>
      </c>
      <c r="M408" s="15" t="n">
        <f aca="false">E408*G408</f>
        <v>189900</v>
      </c>
      <c r="N408" s="15" t="n">
        <f aca="false">E408*H408</f>
        <v>234000</v>
      </c>
      <c r="O408" s="18" t="n">
        <f aca="false">IF(H408=0,"",(H408-G408)/H408)</f>
        <v>0.188461538461538</v>
      </c>
      <c r="P408" s="12" t="str">
        <f aca="false">IF(J408="","",J408-README!$C$4)</f>
        <v/>
      </c>
      <c r="Q408" s="12" t="str">
        <f aca="false">IF(E408=0,"Out of stock",IF(E408&lt;=F408,"Low stock","OK"))</f>
        <v>OK</v>
      </c>
      <c r="R408" s="12" t="str">
        <f aca="false">IF(J408="","No expiry",IF(P408&lt;0,"Expired",IF(P408&lt;=30,"Expiring &lt;=30 days","OK")))</f>
        <v>No expiry</v>
      </c>
      <c r="S408" s="12"/>
    </row>
    <row r="409" customFormat="false" ht="15" hidden="false" customHeight="false" outlineLevel="0" collapsed="false">
      <c r="A409" s="12" t="s">
        <v>3316</v>
      </c>
      <c r="B409" s="12" t="s">
        <v>1319</v>
      </c>
      <c r="C409" s="12" t="s">
        <v>2470</v>
      </c>
      <c r="D409" s="12" t="s">
        <v>1945</v>
      </c>
      <c r="E409" s="12" t="n">
        <v>5</v>
      </c>
      <c r="F409" s="12" t="n">
        <v>4</v>
      </c>
      <c r="G409" s="15" t="n">
        <v>48800</v>
      </c>
      <c r="H409" s="15" t="n">
        <v>58000</v>
      </c>
      <c r="I409" s="12"/>
      <c r="J409" s="17"/>
      <c r="K409" s="12" t="s">
        <v>1120</v>
      </c>
      <c r="L409" s="12" t="n">
        <v>3</v>
      </c>
      <c r="M409" s="15" t="n">
        <f aca="false">E409*G409</f>
        <v>244000</v>
      </c>
      <c r="N409" s="15" t="n">
        <f aca="false">E409*H409</f>
        <v>290000</v>
      </c>
      <c r="O409" s="18" t="n">
        <f aca="false">IF(H409=0,"",(H409-G409)/H409)</f>
        <v>0.158620689655172</v>
      </c>
      <c r="P409" s="12" t="str">
        <f aca="false">IF(J409="","",J409-README!$C$4)</f>
        <v/>
      </c>
      <c r="Q409" s="12" t="str">
        <f aca="false">IF(E409=0,"Out of stock",IF(E409&lt;=F409,"Low stock","OK"))</f>
        <v>OK</v>
      </c>
      <c r="R409" s="12" t="str">
        <f aca="false">IF(J409="","No expiry",IF(P409&lt;0,"Expired",IF(P409&lt;=30,"Expiring &lt;=30 days","OK")))</f>
        <v>No expiry</v>
      </c>
      <c r="S409" s="12"/>
    </row>
    <row r="410" customFormat="false" ht="15" hidden="false" customHeight="false" outlineLevel="0" collapsed="false">
      <c r="A410" s="12" t="s">
        <v>3317</v>
      </c>
      <c r="B410" s="12" t="s">
        <v>1319</v>
      </c>
      <c r="C410" s="12" t="s">
        <v>2478</v>
      </c>
      <c r="D410" s="12" t="s">
        <v>1961</v>
      </c>
      <c r="E410" s="12" t="n">
        <v>18</v>
      </c>
      <c r="F410" s="12" t="n">
        <v>4</v>
      </c>
      <c r="G410" s="15" t="n">
        <v>33200</v>
      </c>
      <c r="H410" s="15" t="n">
        <v>37000</v>
      </c>
      <c r="I410" s="12"/>
      <c r="J410" s="17"/>
      <c r="K410" s="12" t="s">
        <v>1111</v>
      </c>
      <c r="L410" s="12" t="n">
        <v>0</v>
      </c>
      <c r="M410" s="15" t="n">
        <f aca="false">E410*G410</f>
        <v>597600</v>
      </c>
      <c r="N410" s="15" t="n">
        <f aca="false">E410*H410</f>
        <v>666000</v>
      </c>
      <c r="O410" s="18" t="n">
        <f aca="false">IF(H410=0,"",(H410-G410)/H410)</f>
        <v>0.102702702702703</v>
      </c>
      <c r="P410" s="12" t="str">
        <f aca="false">IF(J410="","",J410-README!$C$4)</f>
        <v/>
      </c>
      <c r="Q410" s="12" t="str">
        <f aca="false">IF(E410=0,"Out of stock",IF(E410&lt;=F410,"Low stock","OK"))</f>
        <v>OK</v>
      </c>
      <c r="R410" s="12" t="str">
        <f aca="false">IF(J410="","No expiry",IF(P410&lt;0,"Expired",IF(P410&lt;=30,"Expiring &lt;=30 days","OK")))</f>
        <v>No expiry</v>
      </c>
      <c r="S410" s="12"/>
    </row>
    <row r="411" customFormat="false" ht="15" hidden="false" customHeight="false" outlineLevel="0" collapsed="false">
      <c r="A411" s="12" t="s">
        <v>3318</v>
      </c>
      <c r="B411" s="12" t="s">
        <v>1319</v>
      </c>
      <c r="C411" s="12" t="s">
        <v>2536</v>
      </c>
      <c r="D411" s="12" t="s">
        <v>2538</v>
      </c>
      <c r="E411" s="12" t="n">
        <v>5</v>
      </c>
      <c r="F411" s="12" t="n">
        <v>2</v>
      </c>
      <c r="G411" s="15" t="n">
        <v>114200</v>
      </c>
      <c r="H411" s="15" t="n">
        <v>126000</v>
      </c>
      <c r="I411" s="12"/>
      <c r="J411" s="17"/>
      <c r="K411" s="12" t="s">
        <v>1120</v>
      </c>
      <c r="L411" s="12" t="n">
        <v>3</v>
      </c>
      <c r="M411" s="15" t="n">
        <f aca="false">E411*G411</f>
        <v>571000</v>
      </c>
      <c r="N411" s="15" t="n">
        <f aca="false">E411*H411</f>
        <v>630000</v>
      </c>
      <c r="O411" s="18" t="n">
        <f aca="false">IF(H411=0,"",(H411-G411)/H411)</f>
        <v>0.0936507936507937</v>
      </c>
      <c r="P411" s="12" t="str">
        <f aca="false">IF(J411="","",J411-README!$C$4)</f>
        <v/>
      </c>
      <c r="Q411" s="12" t="str">
        <f aca="false">IF(E411=0,"Out of stock",IF(E411&lt;=F411,"Low stock","OK"))</f>
        <v>OK</v>
      </c>
      <c r="R411" s="12" t="str">
        <f aca="false">IF(J411="","No expiry",IF(P411&lt;0,"Expired",IF(P411&lt;=30,"Expiring &lt;=30 days","OK")))</f>
        <v>No expiry</v>
      </c>
      <c r="S411" s="12"/>
    </row>
    <row r="412" customFormat="false" ht="15" hidden="false" customHeight="false" outlineLevel="0" collapsed="false">
      <c r="A412" s="12" t="s">
        <v>3319</v>
      </c>
      <c r="B412" s="12" t="s">
        <v>1332</v>
      </c>
      <c r="C412" s="12" t="s">
        <v>2070</v>
      </c>
      <c r="D412" s="12" t="s">
        <v>2072</v>
      </c>
      <c r="E412" s="12" t="n">
        <v>14</v>
      </c>
      <c r="F412" s="12" t="n">
        <v>11</v>
      </c>
      <c r="G412" s="15" t="n">
        <v>36700</v>
      </c>
      <c r="H412" s="15" t="n">
        <v>44000</v>
      </c>
      <c r="I412" s="12" t="s">
        <v>3320</v>
      </c>
      <c r="J412" s="17" t="n">
        <v>46375</v>
      </c>
      <c r="K412" s="12" t="s">
        <v>1120</v>
      </c>
      <c r="L412" s="12" t="n">
        <v>9</v>
      </c>
      <c r="M412" s="15" t="n">
        <f aca="false">E412*G412</f>
        <v>513800</v>
      </c>
      <c r="N412" s="15" t="n">
        <f aca="false">E412*H412</f>
        <v>616000</v>
      </c>
      <c r="O412" s="18" t="n">
        <f aca="false">IF(H412=0,"",(H412-G412)/H412)</f>
        <v>0.165909090909091</v>
      </c>
      <c r="P412" s="12" t="n">
        <f aca="false">IF(J412="","",J412-README!$C$4)</f>
        <v>53</v>
      </c>
      <c r="Q412" s="12" t="str">
        <f aca="false">IF(E412=0,"Out of stock",IF(E412&lt;=F412,"Low stock","OK"))</f>
        <v>OK</v>
      </c>
      <c r="R412" s="12" t="str">
        <f aca="false">IF(J412="","No expiry",IF(P412&lt;0,"Expired",IF(P412&lt;=30,"Expiring &lt;=30 days","OK")))</f>
        <v>OK</v>
      </c>
      <c r="S412" s="12"/>
    </row>
    <row r="413" customFormat="false" ht="15" hidden="false" customHeight="false" outlineLevel="0" collapsed="false">
      <c r="A413" s="12" t="s">
        <v>3321</v>
      </c>
      <c r="B413" s="12" t="s">
        <v>1332</v>
      </c>
      <c r="C413" s="12" t="s">
        <v>2074</v>
      </c>
      <c r="D413" s="12" t="s">
        <v>2076</v>
      </c>
      <c r="E413" s="12" t="n">
        <v>17</v>
      </c>
      <c r="F413" s="12" t="n">
        <v>11</v>
      </c>
      <c r="G413" s="15" t="n">
        <v>76100</v>
      </c>
      <c r="H413" s="15" t="n">
        <v>86000</v>
      </c>
      <c r="I413" s="12" t="s">
        <v>3322</v>
      </c>
      <c r="J413" s="17" t="n">
        <v>46469</v>
      </c>
      <c r="K413" s="12" t="s">
        <v>1120</v>
      </c>
      <c r="L413" s="12" t="n">
        <v>11</v>
      </c>
      <c r="M413" s="15" t="n">
        <f aca="false">E413*G413</f>
        <v>1293700</v>
      </c>
      <c r="N413" s="15" t="n">
        <f aca="false">E413*H413</f>
        <v>1462000</v>
      </c>
      <c r="O413" s="18" t="n">
        <f aca="false">IF(H413=0,"",(H413-G413)/H413)</f>
        <v>0.115116279069767</v>
      </c>
      <c r="P413" s="12" t="n">
        <f aca="false">IF(J413="","",J413-README!$C$4)</f>
        <v>147</v>
      </c>
      <c r="Q413" s="12" t="str">
        <f aca="false">IF(E413=0,"Out of stock",IF(E413&lt;=F413,"Low stock","OK"))</f>
        <v>OK</v>
      </c>
      <c r="R413" s="12" t="str">
        <f aca="false">IF(J413="","No expiry",IF(P413&lt;0,"Expired",IF(P413&lt;=30,"Expiring &lt;=30 days","OK")))</f>
        <v>OK</v>
      </c>
      <c r="S413" s="12"/>
    </row>
    <row r="414" customFormat="false" ht="15" hidden="false" customHeight="false" outlineLevel="0" collapsed="false">
      <c r="A414" s="12" t="s">
        <v>3323</v>
      </c>
      <c r="B414" s="12" t="s">
        <v>1332</v>
      </c>
      <c r="C414" s="12" t="s">
        <v>2081</v>
      </c>
      <c r="D414" s="12" t="s">
        <v>2082</v>
      </c>
      <c r="E414" s="12" t="n">
        <v>56</v>
      </c>
      <c r="F414" s="12" t="n">
        <v>11</v>
      </c>
      <c r="G414" s="15" t="n">
        <v>66500</v>
      </c>
      <c r="H414" s="15" t="n">
        <v>82000</v>
      </c>
      <c r="I414" s="12" t="s">
        <v>3324</v>
      </c>
      <c r="J414" s="17" t="n">
        <v>46410</v>
      </c>
      <c r="K414" s="12" t="s">
        <v>1120</v>
      </c>
      <c r="L414" s="12" t="n">
        <v>39</v>
      </c>
      <c r="M414" s="15" t="n">
        <f aca="false">E414*G414</f>
        <v>3724000</v>
      </c>
      <c r="N414" s="15" t="n">
        <f aca="false">E414*H414</f>
        <v>4592000</v>
      </c>
      <c r="O414" s="18" t="n">
        <f aca="false">IF(H414=0,"",(H414-G414)/H414)</f>
        <v>0.189024390243902</v>
      </c>
      <c r="P414" s="12" t="n">
        <f aca="false">IF(J414="","",J414-README!$C$4)</f>
        <v>88</v>
      </c>
      <c r="Q414" s="12" t="str">
        <f aca="false">IF(E414=0,"Out of stock",IF(E414&lt;=F414,"Low stock","OK"))</f>
        <v>OK</v>
      </c>
      <c r="R414" s="12" t="str">
        <f aca="false">IF(J414="","No expiry",IF(P414&lt;0,"Expired",IF(P414&lt;=30,"Expiring &lt;=30 days","OK")))</f>
        <v>OK</v>
      </c>
      <c r="S414" s="12"/>
    </row>
    <row r="415" customFormat="false" ht="15" hidden="false" customHeight="false" outlineLevel="0" collapsed="false">
      <c r="A415" s="12" t="s">
        <v>3325</v>
      </c>
      <c r="B415" s="12" t="s">
        <v>1332</v>
      </c>
      <c r="C415" s="12" t="s">
        <v>2084</v>
      </c>
      <c r="D415" s="12" t="s">
        <v>2085</v>
      </c>
      <c r="E415" s="12" t="n">
        <v>42</v>
      </c>
      <c r="F415" s="12" t="n">
        <v>11</v>
      </c>
      <c r="G415" s="15" t="n">
        <v>35000</v>
      </c>
      <c r="H415" s="15" t="n">
        <v>41000</v>
      </c>
      <c r="I415" s="12" t="s">
        <v>3326</v>
      </c>
      <c r="J415" s="17" t="n">
        <v>46416</v>
      </c>
      <c r="K415" s="12" t="s">
        <v>1111</v>
      </c>
      <c r="L415" s="12" t="n">
        <v>0</v>
      </c>
      <c r="M415" s="15" t="n">
        <f aca="false">E415*G415</f>
        <v>1470000</v>
      </c>
      <c r="N415" s="15" t="n">
        <f aca="false">E415*H415</f>
        <v>1722000</v>
      </c>
      <c r="O415" s="18" t="n">
        <f aca="false">IF(H415=0,"",(H415-G415)/H415)</f>
        <v>0.146341463414634</v>
      </c>
      <c r="P415" s="12" t="n">
        <f aca="false">IF(J415="","",J415-README!$C$4)</f>
        <v>94</v>
      </c>
      <c r="Q415" s="12" t="str">
        <f aca="false">IF(E415=0,"Out of stock",IF(E415&lt;=F415,"Low stock","OK"))</f>
        <v>OK</v>
      </c>
      <c r="R415" s="12" t="str">
        <f aca="false">IF(J415="","No expiry",IF(P415&lt;0,"Expired",IF(P415&lt;=30,"Expiring &lt;=30 days","OK")))</f>
        <v>OK</v>
      </c>
      <c r="S415" s="12"/>
    </row>
    <row r="416" customFormat="false" ht="15" hidden="false" customHeight="false" outlineLevel="0" collapsed="false">
      <c r="A416" s="12" t="s">
        <v>3327</v>
      </c>
      <c r="B416" s="12" t="s">
        <v>1332</v>
      </c>
      <c r="C416" s="12" t="s">
        <v>2087</v>
      </c>
      <c r="D416" s="12" t="s">
        <v>2088</v>
      </c>
      <c r="E416" s="12" t="n">
        <v>69</v>
      </c>
      <c r="F416" s="12" t="n">
        <v>11</v>
      </c>
      <c r="G416" s="15" t="n">
        <v>67600</v>
      </c>
      <c r="H416" s="15" t="n">
        <v>80000</v>
      </c>
      <c r="I416" s="12" t="s">
        <v>3328</v>
      </c>
      <c r="J416" s="17" t="n">
        <v>46451</v>
      </c>
      <c r="K416" s="12" t="s">
        <v>1120</v>
      </c>
      <c r="L416" s="12" t="n">
        <v>48</v>
      </c>
      <c r="M416" s="15" t="n">
        <f aca="false">E416*G416</f>
        <v>4664400</v>
      </c>
      <c r="N416" s="15" t="n">
        <f aca="false">E416*H416</f>
        <v>5520000</v>
      </c>
      <c r="O416" s="18" t="n">
        <f aca="false">IF(H416=0,"",(H416-G416)/H416)</f>
        <v>0.155</v>
      </c>
      <c r="P416" s="12" t="n">
        <f aca="false">IF(J416="","",J416-README!$C$4)</f>
        <v>129</v>
      </c>
      <c r="Q416" s="12" t="str">
        <f aca="false">IF(E416=0,"Out of stock",IF(E416&lt;=F416,"Low stock","OK"))</f>
        <v>OK</v>
      </c>
      <c r="R416" s="12" t="str">
        <f aca="false">IF(J416="","No expiry",IF(P416&lt;0,"Expired",IF(P416&lt;=30,"Expiring &lt;=30 days","OK")))</f>
        <v>OK</v>
      </c>
      <c r="S416" s="12"/>
    </row>
    <row r="417" customFormat="false" ht="15" hidden="false" customHeight="false" outlineLevel="0" collapsed="false">
      <c r="A417" s="12" t="s">
        <v>3329</v>
      </c>
      <c r="B417" s="12" t="s">
        <v>1332</v>
      </c>
      <c r="C417" s="12" t="s">
        <v>2090</v>
      </c>
      <c r="D417" s="12" t="s">
        <v>2091</v>
      </c>
      <c r="E417" s="12" t="n">
        <v>57</v>
      </c>
      <c r="F417" s="12" t="n">
        <v>11</v>
      </c>
      <c r="G417" s="15" t="n">
        <v>64800</v>
      </c>
      <c r="H417" s="15" t="n">
        <v>73500</v>
      </c>
      <c r="I417" s="12" t="s">
        <v>3330</v>
      </c>
      <c r="J417" s="17" t="n">
        <v>46361</v>
      </c>
      <c r="K417" s="12" t="s">
        <v>1120</v>
      </c>
      <c r="L417" s="12" t="n">
        <v>39</v>
      </c>
      <c r="M417" s="15" t="n">
        <f aca="false">E417*G417</f>
        <v>3693600</v>
      </c>
      <c r="N417" s="15" t="n">
        <f aca="false">E417*H417</f>
        <v>4189500</v>
      </c>
      <c r="O417" s="18" t="n">
        <f aca="false">IF(H417=0,"",(H417-G417)/H417)</f>
        <v>0.118367346938776</v>
      </c>
      <c r="P417" s="12" t="n">
        <f aca="false">IF(J417="","",J417-README!$C$4)</f>
        <v>39</v>
      </c>
      <c r="Q417" s="12" t="str">
        <f aca="false">IF(E417=0,"Out of stock",IF(E417&lt;=F417,"Low stock","OK"))</f>
        <v>OK</v>
      </c>
      <c r="R417" s="12" t="str">
        <f aca="false">IF(J417="","No expiry",IF(P417&lt;0,"Expired",IF(P417&lt;=30,"Expiring &lt;=30 days","OK")))</f>
        <v>OK</v>
      </c>
      <c r="S417" s="12"/>
    </row>
    <row r="418" customFormat="false" ht="15" hidden="false" customHeight="false" outlineLevel="0" collapsed="false">
      <c r="A418" s="12" t="s">
        <v>3331</v>
      </c>
      <c r="B418" s="12" t="s">
        <v>1332</v>
      </c>
      <c r="C418" s="12" t="s">
        <v>2093</v>
      </c>
      <c r="D418" s="12" t="s">
        <v>2094</v>
      </c>
      <c r="E418" s="12" t="n">
        <v>52</v>
      </c>
      <c r="F418" s="12" t="n">
        <v>11</v>
      </c>
      <c r="G418" s="15" t="n">
        <v>27500</v>
      </c>
      <c r="H418" s="15" t="n">
        <v>33500</v>
      </c>
      <c r="I418" s="12" t="s">
        <v>3332</v>
      </c>
      <c r="J418" s="17" t="n">
        <v>46351</v>
      </c>
      <c r="K418" s="12" t="s">
        <v>1120</v>
      </c>
      <c r="L418" s="12" t="n">
        <v>36</v>
      </c>
      <c r="M418" s="15" t="n">
        <f aca="false">E418*G418</f>
        <v>1430000</v>
      </c>
      <c r="N418" s="15" t="n">
        <f aca="false">E418*H418</f>
        <v>1742000</v>
      </c>
      <c r="O418" s="18" t="n">
        <f aca="false">IF(H418=0,"",(H418-G418)/H418)</f>
        <v>0.17910447761194</v>
      </c>
      <c r="P418" s="12" t="n">
        <f aca="false">IF(J418="","",J418-README!$C$4)</f>
        <v>29</v>
      </c>
      <c r="Q418" s="12" t="str">
        <f aca="false">IF(E418=0,"Out of stock",IF(E418&lt;=F418,"Low stock","OK"))</f>
        <v>OK</v>
      </c>
      <c r="R418" s="12" t="str">
        <f aca="false">IF(J418="","No expiry",IF(P418&lt;0,"Expired",IF(P418&lt;=30,"Expiring &lt;=30 days","OK")))</f>
        <v>Expiring &lt;=30 days</v>
      </c>
      <c r="S418" s="12"/>
    </row>
    <row r="419" customFormat="false" ht="15" hidden="false" customHeight="false" outlineLevel="0" collapsed="false">
      <c r="A419" s="12" t="s">
        <v>3333</v>
      </c>
      <c r="B419" s="12" t="s">
        <v>1332</v>
      </c>
      <c r="C419" s="12" t="s">
        <v>2099</v>
      </c>
      <c r="D419" s="12" t="s">
        <v>2100</v>
      </c>
      <c r="E419" s="12" t="n">
        <v>79</v>
      </c>
      <c r="F419" s="12" t="n">
        <v>11</v>
      </c>
      <c r="G419" s="15" t="n">
        <v>27500</v>
      </c>
      <c r="H419" s="15" t="n">
        <v>32500</v>
      </c>
      <c r="I419" s="12" t="s">
        <v>3334</v>
      </c>
      <c r="J419" s="17" t="n">
        <v>46392</v>
      </c>
      <c r="K419" s="12" t="s">
        <v>1120</v>
      </c>
      <c r="L419" s="12" t="n">
        <v>55</v>
      </c>
      <c r="M419" s="15" t="n">
        <f aca="false">E419*G419</f>
        <v>2172500</v>
      </c>
      <c r="N419" s="15" t="n">
        <f aca="false">E419*H419</f>
        <v>2567500</v>
      </c>
      <c r="O419" s="18" t="n">
        <f aca="false">IF(H419=0,"",(H419-G419)/H419)</f>
        <v>0.153846153846154</v>
      </c>
      <c r="P419" s="12" t="n">
        <f aca="false">IF(J419="","",J419-README!$C$4)</f>
        <v>70</v>
      </c>
      <c r="Q419" s="12" t="str">
        <f aca="false">IF(E419=0,"Out of stock",IF(E419&lt;=F419,"Low stock","OK"))</f>
        <v>OK</v>
      </c>
      <c r="R419" s="12" t="str">
        <f aca="false">IF(J419="","No expiry",IF(P419&lt;0,"Expired",IF(P419&lt;=30,"Expiring &lt;=30 days","OK")))</f>
        <v>OK</v>
      </c>
      <c r="S419" s="12"/>
    </row>
    <row r="420" customFormat="false" ht="15" hidden="false" customHeight="false" outlineLevel="0" collapsed="false">
      <c r="A420" s="12" t="s">
        <v>3335</v>
      </c>
      <c r="B420" s="12" t="s">
        <v>1332</v>
      </c>
      <c r="C420" s="12" t="s">
        <v>2102</v>
      </c>
      <c r="D420" s="12" t="s">
        <v>2103</v>
      </c>
      <c r="E420" s="12" t="n">
        <v>67</v>
      </c>
      <c r="F420" s="12" t="n">
        <v>11</v>
      </c>
      <c r="G420" s="15" t="n">
        <v>55200</v>
      </c>
      <c r="H420" s="15" t="n">
        <v>63000</v>
      </c>
      <c r="I420" s="12" t="s">
        <v>3336</v>
      </c>
      <c r="J420" s="17" t="n">
        <v>46460</v>
      </c>
      <c r="K420" s="12" t="s">
        <v>1120</v>
      </c>
      <c r="L420" s="12" t="n">
        <v>46</v>
      </c>
      <c r="M420" s="15" t="n">
        <f aca="false">E420*G420</f>
        <v>3698400</v>
      </c>
      <c r="N420" s="15" t="n">
        <f aca="false">E420*H420</f>
        <v>4221000</v>
      </c>
      <c r="O420" s="18" t="n">
        <f aca="false">IF(H420=0,"",(H420-G420)/H420)</f>
        <v>0.123809523809524</v>
      </c>
      <c r="P420" s="12" t="n">
        <f aca="false">IF(J420="","",J420-README!$C$4)</f>
        <v>138</v>
      </c>
      <c r="Q420" s="12" t="str">
        <f aca="false">IF(E420=0,"Out of stock",IF(E420&lt;=F420,"Low stock","OK"))</f>
        <v>OK</v>
      </c>
      <c r="R420" s="12" t="str">
        <f aca="false">IF(J420="","No expiry",IF(P420&lt;0,"Expired",IF(P420&lt;=30,"Expiring &lt;=30 days","OK")))</f>
        <v>OK</v>
      </c>
      <c r="S420" s="12"/>
    </row>
    <row r="421" customFormat="false" ht="15" hidden="false" customHeight="false" outlineLevel="0" collapsed="false">
      <c r="A421" s="12" t="s">
        <v>3337</v>
      </c>
      <c r="B421" s="12" t="s">
        <v>1332</v>
      </c>
      <c r="C421" s="12" t="s">
        <v>2105</v>
      </c>
      <c r="D421" s="12" t="s">
        <v>2106</v>
      </c>
      <c r="E421" s="12" t="n">
        <v>16</v>
      </c>
      <c r="F421" s="12" t="n">
        <v>11</v>
      </c>
      <c r="G421" s="15" t="n">
        <v>50500</v>
      </c>
      <c r="H421" s="15" t="n">
        <v>61000</v>
      </c>
      <c r="I421" s="12" t="s">
        <v>3338</v>
      </c>
      <c r="J421" s="17" t="n">
        <v>46454</v>
      </c>
      <c r="K421" s="12" t="s">
        <v>1120</v>
      </c>
      <c r="L421" s="12" t="n">
        <v>11</v>
      </c>
      <c r="M421" s="15" t="n">
        <f aca="false">E421*G421</f>
        <v>808000</v>
      </c>
      <c r="N421" s="15" t="n">
        <f aca="false">E421*H421</f>
        <v>976000</v>
      </c>
      <c r="O421" s="18" t="n">
        <f aca="false">IF(H421=0,"",(H421-G421)/H421)</f>
        <v>0.172131147540984</v>
      </c>
      <c r="P421" s="12" t="n">
        <f aca="false">IF(J421="","",J421-README!$C$4)</f>
        <v>132</v>
      </c>
      <c r="Q421" s="12" t="str">
        <f aca="false">IF(E421=0,"Out of stock",IF(E421&lt;=F421,"Low stock","OK"))</f>
        <v>OK</v>
      </c>
      <c r="R421" s="12" t="str">
        <f aca="false">IF(J421="","No expiry",IF(P421&lt;0,"Expired",IF(P421&lt;=30,"Expiring &lt;=30 days","OK")))</f>
        <v>OK</v>
      </c>
      <c r="S421" s="12"/>
    </row>
    <row r="422" customFormat="false" ht="15" hidden="false" customHeight="false" outlineLevel="0" collapsed="false">
      <c r="A422" s="12" t="s">
        <v>3339</v>
      </c>
      <c r="B422" s="12" t="s">
        <v>1332</v>
      </c>
      <c r="C422" s="12" t="s">
        <v>2108</v>
      </c>
      <c r="D422" s="12" t="s">
        <v>2109</v>
      </c>
      <c r="E422" s="12" t="n">
        <v>26</v>
      </c>
      <c r="F422" s="12" t="n">
        <v>11</v>
      </c>
      <c r="G422" s="15" t="n">
        <v>41800</v>
      </c>
      <c r="H422" s="15" t="n">
        <v>50500</v>
      </c>
      <c r="I422" s="12" t="s">
        <v>3340</v>
      </c>
      <c r="J422" s="17" t="n">
        <v>46459</v>
      </c>
      <c r="K422" s="12" t="s">
        <v>1120</v>
      </c>
      <c r="L422" s="12" t="n">
        <v>18</v>
      </c>
      <c r="M422" s="15" t="n">
        <f aca="false">E422*G422</f>
        <v>1086800</v>
      </c>
      <c r="N422" s="15" t="n">
        <f aca="false">E422*H422</f>
        <v>1313000</v>
      </c>
      <c r="O422" s="18" t="n">
        <f aca="false">IF(H422=0,"",(H422-G422)/H422)</f>
        <v>0.172277227722772</v>
      </c>
      <c r="P422" s="12" t="n">
        <f aca="false">IF(J422="","",J422-README!$C$4)</f>
        <v>137</v>
      </c>
      <c r="Q422" s="12" t="str">
        <f aca="false">IF(E422=0,"Out of stock",IF(E422&lt;=F422,"Low stock","OK"))</f>
        <v>OK</v>
      </c>
      <c r="R422" s="12" t="str">
        <f aca="false">IF(J422="","No expiry",IF(P422&lt;0,"Expired",IF(P422&lt;=30,"Expiring &lt;=30 days","OK")))</f>
        <v>OK</v>
      </c>
      <c r="S422" s="12"/>
    </row>
    <row r="423" customFormat="false" ht="15" hidden="false" customHeight="false" outlineLevel="0" collapsed="false">
      <c r="A423" s="12" t="s">
        <v>3341</v>
      </c>
      <c r="B423" s="12" t="s">
        <v>1332</v>
      </c>
      <c r="C423" s="12" t="s">
        <v>2111</v>
      </c>
      <c r="D423" s="12" t="s">
        <v>2112</v>
      </c>
      <c r="E423" s="12" t="n">
        <v>34</v>
      </c>
      <c r="F423" s="12" t="n">
        <v>11</v>
      </c>
      <c r="G423" s="15" t="n">
        <v>58400</v>
      </c>
      <c r="H423" s="15" t="n">
        <v>69500</v>
      </c>
      <c r="I423" s="12" t="s">
        <v>3342</v>
      </c>
      <c r="J423" s="17" t="n">
        <v>46405</v>
      </c>
      <c r="K423" s="12" t="s">
        <v>1120</v>
      </c>
      <c r="L423" s="12" t="n">
        <v>23</v>
      </c>
      <c r="M423" s="15" t="n">
        <f aca="false">E423*G423</f>
        <v>1985600</v>
      </c>
      <c r="N423" s="15" t="n">
        <f aca="false">E423*H423</f>
        <v>2363000</v>
      </c>
      <c r="O423" s="18" t="n">
        <f aca="false">IF(H423=0,"",(H423-G423)/H423)</f>
        <v>0.159712230215827</v>
      </c>
      <c r="P423" s="12" t="n">
        <f aca="false">IF(J423="","",J423-README!$C$4)</f>
        <v>83</v>
      </c>
      <c r="Q423" s="12" t="str">
        <f aca="false">IF(E423=0,"Out of stock",IF(E423&lt;=F423,"Low stock","OK"))</f>
        <v>OK</v>
      </c>
      <c r="R423" s="12" t="str">
        <f aca="false">IF(J423="","No expiry",IF(P423&lt;0,"Expired",IF(P423&lt;=30,"Expiring &lt;=30 days","OK")))</f>
        <v>OK</v>
      </c>
      <c r="S423" s="12"/>
    </row>
    <row r="424" customFormat="false" ht="15" hidden="false" customHeight="false" outlineLevel="0" collapsed="false">
      <c r="A424" s="12" t="s">
        <v>3343</v>
      </c>
      <c r="B424" s="12" t="s">
        <v>1332</v>
      </c>
      <c r="C424" s="12" t="s">
        <v>2117</v>
      </c>
      <c r="D424" s="12" t="s">
        <v>2118</v>
      </c>
      <c r="E424" s="12" t="n">
        <v>70</v>
      </c>
      <c r="F424" s="12" t="n">
        <v>11</v>
      </c>
      <c r="G424" s="15" t="n">
        <v>41100</v>
      </c>
      <c r="H424" s="15" t="n">
        <v>50500</v>
      </c>
      <c r="I424" s="12" t="s">
        <v>3344</v>
      </c>
      <c r="J424" s="17" t="n">
        <v>46412</v>
      </c>
      <c r="K424" s="12" t="s">
        <v>1120</v>
      </c>
      <c r="L424" s="12" t="n">
        <v>49</v>
      </c>
      <c r="M424" s="15" t="n">
        <f aca="false">E424*G424</f>
        <v>2877000</v>
      </c>
      <c r="N424" s="15" t="n">
        <f aca="false">E424*H424</f>
        <v>3535000</v>
      </c>
      <c r="O424" s="18" t="n">
        <f aca="false">IF(H424=0,"",(H424-G424)/H424)</f>
        <v>0.186138613861386</v>
      </c>
      <c r="P424" s="12" t="n">
        <f aca="false">IF(J424="","",J424-README!$C$4)</f>
        <v>90</v>
      </c>
      <c r="Q424" s="12" t="str">
        <f aca="false">IF(E424=0,"Out of stock",IF(E424&lt;=F424,"Low stock","OK"))</f>
        <v>OK</v>
      </c>
      <c r="R424" s="12" t="str">
        <f aca="false">IF(J424="","No expiry",IF(P424&lt;0,"Expired",IF(P424&lt;=30,"Expiring &lt;=30 days","OK")))</f>
        <v>OK</v>
      </c>
      <c r="S424" s="12"/>
    </row>
    <row r="425" customFormat="false" ht="15" hidden="false" customHeight="false" outlineLevel="0" collapsed="false">
      <c r="A425" s="12" t="s">
        <v>3345</v>
      </c>
      <c r="B425" s="12" t="s">
        <v>1332</v>
      </c>
      <c r="C425" s="12" t="s">
        <v>2120</v>
      </c>
      <c r="D425" s="12" t="s">
        <v>2122</v>
      </c>
      <c r="E425" s="12" t="n">
        <v>0</v>
      </c>
      <c r="F425" s="12" t="n">
        <v>11</v>
      </c>
      <c r="G425" s="15" t="n">
        <v>59500</v>
      </c>
      <c r="H425" s="15" t="n">
        <v>68000</v>
      </c>
      <c r="I425" s="12" t="s">
        <v>3346</v>
      </c>
      <c r="J425" s="17" t="n">
        <v>46404</v>
      </c>
      <c r="K425" s="12" t="s">
        <v>1111</v>
      </c>
      <c r="L425" s="12" t="n">
        <v>0</v>
      </c>
      <c r="M425" s="15" t="n">
        <f aca="false">E425*G425</f>
        <v>0</v>
      </c>
      <c r="N425" s="15" t="n">
        <f aca="false">E425*H425</f>
        <v>0</v>
      </c>
      <c r="O425" s="18" t="n">
        <f aca="false">IF(H425=0,"",(H425-G425)/H425)</f>
        <v>0.125</v>
      </c>
      <c r="P425" s="12" t="n">
        <f aca="false">IF(J425="","",J425-README!$C$4)</f>
        <v>82</v>
      </c>
      <c r="Q425" s="12" t="str">
        <f aca="false">IF(E425=0,"Out of stock",IF(E425&lt;=F425,"Low stock","OK"))</f>
        <v>Out of stock</v>
      </c>
      <c r="R425" s="12" t="str">
        <f aca="false">IF(J425="","No expiry",IF(P425&lt;0,"Expired",IF(P425&lt;=30,"Expiring &lt;=30 days","OK")))</f>
        <v>OK</v>
      </c>
      <c r="S425" s="19" t="s">
        <v>2819</v>
      </c>
    </row>
    <row r="426" customFormat="false" ht="15" hidden="false" customHeight="false" outlineLevel="0" collapsed="false">
      <c r="A426" s="12" t="s">
        <v>3347</v>
      </c>
      <c r="B426" s="12" t="s">
        <v>1332</v>
      </c>
      <c r="C426" s="12" t="s">
        <v>2124</v>
      </c>
      <c r="D426" s="12" t="s">
        <v>2125</v>
      </c>
      <c r="E426" s="12" t="n">
        <v>41</v>
      </c>
      <c r="F426" s="12" t="n">
        <v>11</v>
      </c>
      <c r="G426" s="15" t="n">
        <v>40800</v>
      </c>
      <c r="H426" s="15" t="n">
        <v>47000</v>
      </c>
      <c r="I426" s="12" t="s">
        <v>3348</v>
      </c>
      <c r="J426" s="17" t="n">
        <v>46447</v>
      </c>
      <c r="K426" s="12" t="s">
        <v>1120</v>
      </c>
      <c r="L426" s="12" t="n">
        <v>28</v>
      </c>
      <c r="M426" s="15" t="n">
        <f aca="false">E426*G426</f>
        <v>1672800</v>
      </c>
      <c r="N426" s="15" t="n">
        <f aca="false">E426*H426</f>
        <v>1927000</v>
      </c>
      <c r="O426" s="18" t="n">
        <f aca="false">IF(H426=0,"",(H426-G426)/H426)</f>
        <v>0.131914893617021</v>
      </c>
      <c r="P426" s="12" t="n">
        <f aca="false">IF(J426="","",J426-README!$C$4)</f>
        <v>125</v>
      </c>
      <c r="Q426" s="12" t="str">
        <f aca="false">IF(E426=0,"Out of stock",IF(E426&lt;=F426,"Low stock","OK"))</f>
        <v>OK</v>
      </c>
      <c r="R426" s="12" t="str">
        <f aca="false">IF(J426="","No expiry",IF(P426&lt;0,"Expired",IF(P426&lt;=30,"Expiring &lt;=30 days","OK")))</f>
        <v>OK</v>
      </c>
      <c r="S426" s="12"/>
    </row>
    <row r="427" customFormat="false" ht="15" hidden="false" customHeight="false" outlineLevel="0" collapsed="false">
      <c r="A427" s="12" t="s">
        <v>3349</v>
      </c>
      <c r="B427" s="12" t="s">
        <v>1332</v>
      </c>
      <c r="C427" s="12" t="s">
        <v>2139</v>
      </c>
      <c r="D427" s="12" t="s">
        <v>2140</v>
      </c>
      <c r="E427" s="12" t="n">
        <v>20</v>
      </c>
      <c r="F427" s="12" t="n">
        <v>11</v>
      </c>
      <c r="G427" s="15" t="n">
        <v>33400</v>
      </c>
      <c r="H427" s="15" t="n">
        <v>40000</v>
      </c>
      <c r="I427" s="12" t="s">
        <v>3350</v>
      </c>
      <c r="J427" s="17" t="n">
        <v>46437</v>
      </c>
      <c r="K427" s="12" t="s">
        <v>1111</v>
      </c>
      <c r="L427" s="12" t="n">
        <v>0</v>
      </c>
      <c r="M427" s="15" t="n">
        <f aca="false">E427*G427</f>
        <v>668000</v>
      </c>
      <c r="N427" s="15" t="n">
        <f aca="false">E427*H427</f>
        <v>800000</v>
      </c>
      <c r="O427" s="18" t="n">
        <f aca="false">IF(H427=0,"",(H427-G427)/H427)</f>
        <v>0.165</v>
      </c>
      <c r="P427" s="12" t="n">
        <f aca="false">IF(J427="","",J427-README!$C$4)</f>
        <v>115</v>
      </c>
      <c r="Q427" s="12" t="str">
        <f aca="false">IF(E427=0,"Out of stock",IF(E427&lt;=F427,"Low stock","OK"))</f>
        <v>OK</v>
      </c>
      <c r="R427" s="12" t="str">
        <f aca="false">IF(J427="","No expiry",IF(P427&lt;0,"Expired",IF(P427&lt;=30,"Expiring &lt;=30 days","OK")))</f>
        <v>OK</v>
      </c>
      <c r="S427" s="12"/>
    </row>
    <row r="428" customFormat="false" ht="15" hidden="false" customHeight="false" outlineLevel="0" collapsed="false">
      <c r="A428" s="12" t="s">
        <v>3351</v>
      </c>
      <c r="B428" s="12" t="s">
        <v>1332</v>
      </c>
      <c r="C428" s="12" t="s">
        <v>2142</v>
      </c>
      <c r="D428" s="12" t="s">
        <v>2143</v>
      </c>
      <c r="E428" s="12" t="n">
        <v>15</v>
      </c>
      <c r="F428" s="12" t="n">
        <v>11</v>
      </c>
      <c r="G428" s="15" t="n">
        <v>45100</v>
      </c>
      <c r="H428" s="15" t="n">
        <v>51500</v>
      </c>
      <c r="I428" s="12" t="s">
        <v>3352</v>
      </c>
      <c r="J428" s="17" t="n">
        <v>46409</v>
      </c>
      <c r="K428" s="12" t="s">
        <v>1120</v>
      </c>
      <c r="L428" s="12" t="n">
        <v>10</v>
      </c>
      <c r="M428" s="15" t="n">
        <f aca="false">E428*G428</f>
        <v>676500</v>
      </c>
      <c r="N428" s="15" t="n">
        <f aca="false">E428*H428</f>
        <v>772500</v>
      </c>
      <c r="O428" s="18" t="n">
        <f aca="false">IF(H428=0,"",(H428-G428)/H428)</f>
        <v>0.124271844660194</v>
      </c>
      <c r="P428" s="12" t="n">
        <f aca="false">IF(J428="","",J428-README!$C$4)</f>
        <v>87</v>
      </c>
      <c r="Q428" s="12" t="str">
        <f aca="false">IF(E428=0,"Out of stock",IF(E428&lt;=F428,"Low stock","OK"))</f>
        <v>OK</v>
      </c>
      <c r="R428" s="12" t="str">
        <f aca="false">IF(J428="","No expiry",IF(P428&lt;0,"Expired",IF(P428&lt;=30,"Expiring &lt;=30 days","OK")))</f>
        <v>OK</v>
      </c>
      <c r="S428" s="12"/>
    </row>
    <row r="429" customFormat="false" ht="15" hidden="false" customHeight="false" outlineLevel="0" collapsed="false">
      <c r="A429" s="12" t="s">
        <v>3353</v>
      </c>
      <c r="B429" s="12" t="s">
        <v>1332</v>
      </c>
      <c r="C429" s="12" t="s">
        <v>2145</v>
      </c>
      <c r="D429" s="12" t="s">
        <v>2146</v>
      </c>
      <c r="E429" s="12" t="n">
        <v>14</v>
      </c>
      <c r="F429" s="12" t="n">
        <v>11</v>
      </c>
      <c r="G429" s="15" t="n">
        <v>81500</v>
      </c>
      <c r="H429" s="15" t="n">
        <v>100000</v>
      </c>
      <c r="I429" s="12" t="s">
        <v>3354</v>
      </c>
      <c r="J429" s="17" t="n">
        <v>46414</v>
      </c>
      <c r="K429" s="12" t="s">
        <v>1111</v>
      </c>
      <c r="L429" s="12" t="n">
        <v>0</v>
      </c>
      <c r="M429" s="15" t="n">
        <f aca="false">E429*G429</f>
        <v>1141000</v>
      </c>
      <c r="N429" s="15" t="n">
        <f aca="false">E429*H429</f>
        <v>1400000</v>
      </c>
      <c r="O429" s="18" t="n">
        <f aca="false">IF(H429=0,"",(H429-G429)/H429)</f>
        <v>0.185</v>
      </c>
      <c r="P429" s="12" t="n">
        <f aca="false">IF(J429="","",J429-README!$C$4)</f>
        <v>92</v>
      </c>
      <c r="Q429" s="12" t="str">
        <f aca="false">IF(E429=0,"Out of stock",IF(E429&lt;=F429,"Low stock","OK"))</f>
        <v>OK</v>
      </c>
      <c r="R429" s="12" t="str">
        <f aca="false">IF(J429="","No expiry",IF(P429&lt;0,"Expired",IF(P429&lt;=30,"Expiring &lt;=30 days","OK")))</f>
        <v>OK</v>
      </c>
      <c r="S429" s="12"/>
    </row>
    <row r="430" customFormat="false" ht="15" hidden="false" customHeight="false" outlineLevel="0" collapsed="false">
      <c r="A430" s="12" t="s">
        <v>3355</v>
      </c>
      <c r="B430" s="12" t="s">
        <v>1332</v>
      </c>
      <c r="C430" s="12" t="s">
        <v>2148</v>
      </c>
      <c r="D430" s="12" t="s">
        <v>2149</v>
      </c>
      <c r="E430" s="12" t="n">
        <v>75</v>
      </c>
      <c r="F430" s="12" t="n">
        <v>11</v>
      </c>
      <c r="G430" s="15" t="n">
        <v>95700</v>
      </c>
      <c r="H430" s="15" t="n">
        <v>110000</v>
      </c>
      <c r="I430" s="12" t="s">
        <v>3356</v>
      </c>
      <c r="J430" s="17" t="n">
        <v>46441</v>
      </c>
      <c r="K430" s="12" t="s">
        <v>1111</v>
      </c>
      <c r="L430" s="12" t="n">
        <v>0</v>
      </c>
      <c r="M430" s="15" t="n">
        <f aca="false">E430*G430</f>
        <v>7177500</v>
      </c>
      <c r="N430" s="15" t="n">
        <f aca="false">E430*H430</f>
        <v>8250000</v>
      </c>
      <c r="O430" s="18" t="n">
        <f aca="false">IF(H430=0,"",(H430-G430)/H430)</f>
        <v>0.13</v>
      </c>
      <c r="P430" s="12" t="n">
        <f aca="false">IF(J430="","",J430-README!$C$4)</f>
        <v>119</v>
      </c>
      <c r="Q430" s="12" t="str">
        <f aca="false">IF(E430=0,"Out of stock",IF(E430&lt;=F430,"Low stock","OK"))</f>
        <v>OK</v>
      </c>
      <c r="R430" s="12" t="str">
        <f aca="false">IF(J430="","No expiry",IF(P430&lt;0,"Expired",IF(P430&lt;=30,"Expiring &lt;=30 days","OK")))</f>
        <v>OK</v>
      </c>
      <c r="S430" s="12"/>
    </row>
    <row r="431" customFormat="false" ht="15" hidden="false" customHeight="false" outlineLevel="0" collapsed="false">
      <c r="A431" s="12" t="s">
        <v>3357</v>
      </c>
      <c r="B431" s="12" t="s">
        <v>1332</v>
      </c>
      <c r="C431" s="12" t="s">
        <v>2151</v>
      </c>
      <c r="D431" s="12" t="s">
        <v>2152</v>
      </c>
      <c r="E431" s="12" t="n">
        <v>61</v>
      </c>
      <c r="F431" s="12" t="n">
        <v>11</v>
      </c>
      <c r="G431" s="15" t="n">
        <v>83000</v>
      </c>
      <c r="H431" s="15" t="n">
        <v>96500</v>
      </c>
      <c r="I431" s="12" t="s">
        <v>3358</v>
      </c>
      <c r="J431" s="17" t="n">
        <v>46361</v>
      </c>
      <c r="K431" s="12" t="s">
        <v>1120</v>
      </c>
      <c r="L431" s="12" t="n">
        <v>42</v>
      </c>
      <c r="M431" s="15" t="n">
        <f aca="false">E431*G431</f>
        <v>5063000</v>
      </c>
      <c r="N431" s="15" t="n">
        <f aca="false">E431*H431</f>
        <v>5886500</v>
      </c>
      <c r="O431" s="18" t="n">
        <f aca="false">IF(H431=0,"",(H431-G431)/H431)</f>
        <v>0.139896373056995</v>
      </c>
      <c r="P431" s="12" t="n">
        <f aca="false">IF(J431="","",J431-README!$C$4)</f>
        <v>39</v>
      </c>
      <c r="Q431" s="12" t="str">
        <f aca="false">IF(E431=0,"Out of stock",IF(E431&lt;=F431,"Low stock","OK"))</f>
        <v>OK</v>
      </c>
      <c r="R431" s="12" t="str">
        <f aca="false">IF(J431="","No expiry",IF(P431&lt;0,"Expired",IF(P431&lt;=30,"Expiring &lt;=30 days","OK")))</f>
        <v>OK</v>
      </c>
      <c r="S431" s="12"/>
    </row>
    <row r="432" customFormat="false" ht="15" hidden="false" customHeight="false" outlineLevel="0" collapsed="false">
      <c r="A432" s="12" t="s">
        <v>3359</v>
      </c>
      <c r="B432" s="12" t="s">
        <v>1332</v>
      </c>
      <c r="C432" s="12" t="s">
        <v>2154</v>
      </c>
      <c r="D432" s="12" t="s">
        <v>2155</v>
      </c>
      <c r="E432" s="12" t="n">
        <v>38</v>
      </c>
      <c r="F432" s="12" t="n">
        <v>11</v>
      </c>
      <c r="G432" s="15" t="n">
        <v>63800</v>
      </c>
      <c r="H432" s="15" t="n">
        <v>73500</v>
      </c>
      <c r="I432" s="12" t="s">
        <v>3360</v>
      </c>
      <c r="J432" s="17" t="n">
        <v>46433</v>
      </c>
      <c r="K432" s="12" t="s">
        <v>1120</v>
      </c>
      <c r="L432" s="12" t="n">
        <v>26</v>
      </c>
      <c r="M432" s="15" t="n">
        <f aca="false">E432*G432</f>
        <v>2424400</v>
      </c>
      <c r="N432" s="15" t="n">
        <f aca="false">E432*H432</f>
        <v>2793000</v>
      </c>
      <c r="O432" s="18" t="n">
        <f aca="false">IF(H432=0,"",(H432-G432)/H432)</f>
        <v>0.131972789115646</v>
      </c>
      <c r="P432" s="12" t="n">
        <f aca="false">IF(J432="","",J432-README!$C$4)</f>
        <v>111</v>
      </c>
      <c r="Q432" s="12" t="str">
        <f aca="false">IF(E432=0,"Out of stock",IF(E432&lt;=F432,"Low stock","OK"))</f>
        <v>OK</v>
      </c>
      <c r="R432" s="12" t="str">
        <f aca="false">IF(J432="","No expiry",IF(P432&lt;0,"Expired",IF(P432&lt;=30,"Expiring &lt;=30 days","OK")))</f>
        <v>OK</v>
      </c>
      <c r="S432" s="12"/>
    </row>
    <row r="433" customFormat="false" ht="15" hidden="false" customHeight="false" outlineLevel="0" collapsed="false">
      <c r="A433" s="12" t="s">
        <v>3361</v>
      </c>
      <c r="B433" s="12" t="s">
        <v>1332</v>
      </c>
      <c r="C433" s="12" t="s">
        <v>2157</v>
      </c>
      <c r="D433" s="12" t="s">
        <v>2159</v>
      </c>
      <c r="E433" s="12" t="n">
        <v>40</v>
      </c>
      <c r="F433" s="12" t="n">
        <v>8</v>
      </c>
      <c r="G433" s="15" t="n">
        <v>7600</v>
      </c>
      <c r="H433" s="15" t="n">
        <v>9400</v>
      </c>
      <c r="I433" s="12" t="s">
        <v>3362</v>
      </c>
      <c r="J433" s="17" t="n">
        <v>46456</v>
      </c>
      <c r="K433" s="12" t="s">
        <v>1120</v>
      </c>
      <c r="L433" s="12" t="n">
        <v>28</v>
      </c>
      <c r="M433" s="15" t="n">
        <f aca="false">E433*G433</f>
        <v>304000</v>
      </c>
      <c r="N433" s="15" t="n">
        <f aca="false">E433*H433</f>
        <v>376000</v>
      </c>
      <c r="O433" s="18" t="n">
        <f aca="false">IF(H433=0,"",(H433-G433)/H433)</f>
        <v>0.191489361702128</v>
      </c>
      <c r="P433" s="12" t="n">
        <f aca="false">IF(J433="","",J433-README!$C$4)</f>
        <v>134</v>
      </c>
      <c r="Q433" s="12" t="str">
        <f aca="false">IF(E433=0,"Out of stock",IF(E433&lt;=F433,"Low stock","OK"))</f>
        <v>OK</v>
      </c>
      <c r="R433" s="12" t="str">
        <f aca="false">IF(J433="","No expiry",IF(P433&lt;0,"Expired",IF(P433&lt;=30,"Expiring &lt;=30 days","OK")))</f>
        <v>OK</v>
      </c>
      <c r="S433" s="12"/>
    </row>
    <row r="434" customFormat="false" ht="15" hidden="false" customHeight="false" outlineLevel="0" collapsed="false">
      <c r="A434" s="12" t="s">
        <v>3363</v>
      </c>
      <c r="B434" s="12" t="s">
        <v>1332</v>
      </c>
      <c r="C434" s="12" t="s">
        <v>2161</v>
      </c>
      <c r="D434" s="12" t="s">
        <v>2163</v>
      </c>
      <c r="E434" s="12" t="n">
        <v>26</v>
      </c>
      <c r="F434" s="12" t="n">
        <v>11</v>
      </c>
      <c r="G434" s="15" t="n">
        <v>39000</v>
      </c>
      <c r="H434" s="15" t="n">
        <v>44000</v>
      </c>
      <c r="I434" s="12" t="s">
        <v>3364</v>
      </c>
      <c r="J434" s="17" t="n">
        <v>46462</v>
      </c>
      <c r="K434" s="12" t="s">
        <v>1120</v>
      </c>
      <c r="L434" s="12" t="n">
        <v>18</v>
      </c>
      <c r="M434" s="15" t="n">
        <f aca="false">E434*G434</f>
        <v>1014000</v>
      </c>
      <c r="N434" s="15" t="n">
        <f aca="false">E434*H434</f>
        <v>1144000</v>
      </c>
      <c r="O434" s="18" t="n">
        <f aca="false">IF(H434=0,"",(H434-G434)/H434)</f>
        <v>0.113636363636364</v>
      </c>
      <c r="P434" s="12" t="n">
        <f aca="false">IF(J434="","",J434-README!$C$4)</f>
        <v>140</v>
      </c>
      <c r="Q434" s="12" t="str">
        <f aca="false">IF(E434=0,"Out of stock",IF(E434&lt;=F434,"Low stock","OK"))</f>
        <v>OK</v>
      </c>
      <c r="R434" s="12" t="str">
        <f aca="false">IF(J434="","No expiry",IF(P434&lt;0,"Expired",IF(P434&lt;=30,"Expiring &lt;=30 days","OK")))</f>
        <v>OK</v>
      </c>
      <c r="S434" s="12"/>
    </row>
    <row r="435" customFormat="false" ht="15" hidden="false" customHeight="false" outlineLevel="0" collapsed="false">
      <c r="A435" s="12" t="s">
        <v>3365</v>
      </c>
      <c r="B435" s="12" t="s">
        <v>1332</v>
      </c>
      <c r="C435" s="12" t="s">
        <v>2165</v>
      </c>
      <c r="D435" s="12" t="s">
        <v>2166</v>
      </c>
      <c r="E435" s="12" t="n">
        <v>38</v>
      </c>
      <c r="F435" s="12" t="n">
        <v>8</v>
      </c>
      <c r="G435" s="15" t="n">
        <v>7900</v>
      </c>
      <c r="H435" s="15" t="n">
        <v>8900</v>
      </c>
      <c r="I435" s="12" t="s">
        <v>3366</v>
      </c>
      <c r="J435" s="17" t="n">
        <v>46509</v>
      </c>
      <c r="K435" s="12" t="s">
        <v>1120</v>
      </c>
      <c r="L435" s="12" t="n">
        <v>26</v>
      </c>
      <c r="M435" s="15" t="n">
        <f aca="false">E435*G435</f>
        <v>300200</v>
      </c>
      <c r="N435" s="15" t="n">
        <f aca="false">E435*H435</f>
        <v>338200</v>
      </c>
      <c r="O435" s="18" t="n">
        <f aca="false">IF(H435=0,"",(H435-G435)/H435)</f>
        <v>0.112359550561798</v>
      </c>
      <c r="P435" s="12" t="n">
        <f aca="false">IF(J435="","",J435-README!$C$4)</f>
        <v>187</v>
      </c>
      <c r="Q435" s="12" t="str">
        <f aca="false">IF(E435=0,"Out of stock",IF(E435&lt;=F435,"Low stock","OK"))</f>
        <v>OK</v>
      </c>
      <c r="R435" s="12" t="str">
        <f aca="false">IF(J435="","No expiry",IF(P435&lt;0,"Expired",IF(P435&lt;=30,"Expiring &lt;=30 days","OK")))</f>
        <v>OK</v>
      </c>
      <c r="S435" s="12"/>
    </row>
    <row r="436" customFormat="false" ht="15" hidden="false" customHeight="false" outlineLevel="0" collapsed="false">
      <c r="A436" s="12" t="s">
        <v>3367</v>
      </c>
      <c r="B436" s="12" t="s">
        <v>1332</v>
      </c>
      <c r="C436" s="12" t="s">
        <v>2171</v>
      </c>
      <c r="D436" s="12" t="s">
        <v>2172</v>
      </c>
      <c r="E436" s="12" t="n">
        <v>24</v>
      </c>
      <c r="F436" s="12" t="n">
        <v>8</v>
      </c>
      <c r="G436" s="15" t="n">
        <v>7600</v>
      </c>
      <c r="H436" s="15" t="n">
        <v>8900</v>
      </c>
      <c r="I436" s="12" t="s">
        <v>3368</v>
      </c>
      <c r="J436" s="17" t="n">
        <v>46566</v>
      </c>
      <c r="K436" s="12" t="s">
        <v>1111</v>
      </c>
      <c r="L436" s="12" t="n">
        <v>0</v>
      </c>
      <c r="M436" s="15" t="n">
        <f aca="false">E436*G436</f>
        <v>182400</v>
      </c>
      <c r="N436" s="15" t="n">
        <f aca="false">E436*H436</f>
        <v>213600</v>
      </c>
      <c r="O436" s="18" t="n">
        <f aca="false">IF(H436=0,"",(H436-G436)/H436)</f>
        <v>0.146067415730337</v>
      </c>
      <c r="P436" s="12" t="n">
        <f aca="false">IF(J436="","",J436-README!$C$4)</f>
        <v>244</v>
      </c>
      <c r="Q436" s="12" t="str">
        <f aca="false">IF(E436=0,"Out of stock",IF(E436&lt;=F436,"Low stock","OK"))</f>
        <v>OK</v>
      </c>
      <c r="R436" s="12" t="str">
        <f aca="false">IF(J436="","No expiry",IF(P436&lt;0,"Expired",IF(P436&lt;=30,"Expiring &lt;=30 days","OK")))</f>
        <v>OK</v>
      </c>
      <c r="S436" s="12"/>
    </row>
    <row r="437" customFormat="false" ht="15" hidden="false" customHeight="false" outlineLevel="0" collapsed="false">
      <c r="A437" s="12" t="s">
        <v>3369</v>
      </c>
      <c r="B437" s="12" t="s">
        <v>1332</v>
      </c>
      <c r="C437" s="12" t="s">
        <v>2180</v>
      </c>
      <c r="D437" s="12" t="s">
        <v>2181</v>
      </c>
      <c r="E437" s="12" t="n">
        <v>76</v>
      </c>
      <c r="F437" s="12" t="n">
        <v>11</v>
      </c>
      <c r="G437" s="15" t="n">
        <v>32100</v>
      </c>
      <c r="H437" s="15" t="n">
        <v>40000</v>
      </c>
      <c r="I437" s="12" t="s">
        <v>3370</v>
      </c>
      <c r="J437" s="17" t="n">
        <v>46386</v>
      </c>
      <c r="K437" s="12" t="s">
        <v>1120</v>
      </c>
      <c r="L437" s="12" t="n">
        <v>53</v>
      </c>
      <c r="M437" s="15" t="n">
        <f aca="false">E437*G437</f>
        <v>2439600</v>
      </c>
      <c r="N437" s="15" t="n">
        <f aca="false">E437*H437</f>
        <v>3040000</v>
      </c>
      <c r="O437" s="18" t="n">
        <f aca="false">IF(H437=0,"",(H437-G437)/H437)</f>
        <v>0.1975</v>
      </c>
      <c r="P437" s="12" t="n">
        <f aca="false">IF(J437="","",J437-README!$C$4)</f>
        <v>64</v>
      </c>
      <c r="Q437" s="12" t="str">
        <f aca="false">IF(E437=0,"Out of stock",IF(E437&lt;=F437,"Low stock","OK"))</f>
        <v>OK</v>
      </c>
      <c r="R437" s="12" t="str">
        <f aca="false">IF(J437="","No expiry",IF(P437&lt;0,"Expired",IF(P437&lt;=30,"Expiring &lt;=30 days","OK")))</f>
        <v>OK</v>
      </c>
      <c r="S437" s="12"/>
    </row>
    <row r="438" customFormat="false" ht="15" hidden="false" customHeight="false" outlineLevel="0" collapsed="false">
      <c r="A438" s="12" t="s">
        <v>3371</v>
      </c>
      <c r="B438" s="12" t="s">
        <v>1332</v>
      </c>
      <c r="C438" s="12" t="s">
        <v>2183</v>
      </c>
      <c r="D438" s="12" t="s">
        <v>2184</v>
      </c>
      <c r="E438" s="12" t="n">
        <v>49</v>
      </c>
      <c r="F438" s="12" t="n">
        <v>11</v>
      </c>
      <c r="G438" s="15" t="n">
        <v>89800</v>
      </c>
      <c r="H438" s="15" t="n">
        <v>110000</v>
      </c>
      <c r="I438" s="12" t="s">
        <v>3372</v>
      </c>
      <c r="J438" s="17" t="n">
        <v>46370</v>
      </c>
      <c r="K438" s="12" t="s">
        <v>1120</v>
      </c>
      <c r="L438" s="12" t="n">
        <v>34</v>
      </c>
      <c r="M438" s="15" t="n">
        <f aca="false">E438*G438</f>
        <v>4400200</v>
      </c>
      <c r="N438" s="15" t="n">
        <f aca="false">E438*H438</f>
        <v>5390000</v>
      </c>
      <c r="O438" s="18" t="n">
        <f aca="false">IF(H438=0,"",(H438-G438)/H438)</f>
        <v>0.183636363636364</v>
      </c>
      <c r="P438" s="12" t="n">
        <f aca="false">IF(J438="","",J438-README!$C$4)</f>
        <v>48</v>
      </c>
      <c r="Q438" s="12" t="str">
        <f aca="false">IF(E438=0,"Out of stock",IF(E438&lt;=F438,"Low stock","OK"))</f>
        <v>OK</v>
      </c>
      <c r="R438" s="12" t="str">
        <f aca="false">IF(J438="","No expiry",IF(P438&lt;0,"Expired",IF(P438&lt;=30,"Expiring &lt;=30 days","OK")))</f>
        <v>OK</v>
      </c>
      <c r="S438" s="12"/>
    </row>
    <row r="439" customFormat="false" ht="15" hidden="false" customHeight="false" outlineLevel="0" collapsed="false">
      <c r="A439" s="12" t="s">
        <v>3373</v>
      </c>
      <c r="B439" s="12" t="s">
        <v>1332</v>
      </c>
      <c r="C439" s="12" t="s">
        <v>2186</v>
      </c>
      <c r="D439" s="12" t="s">
        <v>2187</v>
      </c>
      <c r="E439" s="12" t="n">
        <v>46</v>
      </c>
      <c r="F439" s="12" t="n">
        <v>11</v>
      </c>
      <c r="G439" s="15" t="n">
        <v>55100</v>
      </c>
      <c r="H439" s="15" t="n">
        <v>65000</v>
      </c>
      <c r="I439" s="12" t="s">
        <v>3374</v>
      </c>
      <c r="J439" s="17" t="n">
        <v>46370</v>
      </c>
      <c r="K439" s="12" t="s">
        <v>1120</v>
      </c>
      <c r="L439" s="12" t="n">
        <v>32</v>
      </c>
      <c r="M439" s="15" t="n">
        <f aca="false">E439*G439</f>
        <v>2534600</v>
      </c>
      <c r="N439" s="15" t="n">
        <f aca="false">E439*H439</f>
        <v>2990000</v>
      </c>
      <c r="O439" s="18" t="n">
        <f aca="false">IF(H439=0,"",(H439-G439)/H439)</f>
        <v>0.152307692307692</v>
      </c>
      <c r="P439" s="12" t="n">
        <f aca="false">IF(J439="","",J439-README!$C$4)</f>
        <v>48</v>
      </c>
      <c r="Q439" s="12" t="str">
        <f aca="false">IF(E439=0,"Out of stock",IF(E439&lt;=F439,"Low stock","OK"))</f>
        <v>OK</v>
      </c>
      <c r="R439" s="12" t="str">
        <f aca="false">IF(J439="","No expiry",IF(P439&lt;0,"Expired",IF(P439&lt;=30,"Expiring &lt;=30 days","OK")))</f>
        <v>OK</v>
      </c>
      <c r="S439" s="12"/>
    </row>
    <row r="440" customFormat="false" ht="15" hidden="false" customHeight="false" outlineLevel="0" collapsed="false">
      <c r="A440" s="12" t="s">
        <v>3375</v>
      </c>
      <c r="B440" s="12" t="s">
        <v>1332</v>
      </c>
      <c r="C440" s="12" t="s">
        <v>2189</v>
      </c>
      <c r="D440" s="12" t="s">
        <v>2190</v>
      </c>
      <c r="E440" s="12" t="n">
        <v>45</v>
      </c>
      <c r="F440" s="12" t="n">
        <v>11</v>
      </c>
      <c r="G440" s="15" t="n">
        <v>110400</v>
      </c>
      <c r="H440" s="15" t="n">
        <v>126000</v>
      </c>
      <c r="I440" s="12" t="s">
        <v>3376</v>
      </c>
      <c r="J440" s="17" t="n">
        <v>46417</v>
      </c>
      <c r="K440" s="12" t="s">
        <v>1120</v>
      </c>
      <c r="L440" s="12" t="n">
        <v>31</v>
      </c>
      <c r="M440" s="15" t="n">
        <f aca="false">E440*G440</f>
        <v>4968000</v>
      </c>
      <c r="N440" s="15" t="n">
        <f aca="false">E440*H440</f>
        <v>5670000</v>
      </c>
      <c r="O440" s="18" t="n">
        <f aca="false">IF(H440=0,"",(H440-G440)/H440)</f>
        <v>0.123809523809524</v>
      </c>
      <c r="P440" s="12" t="n">
        <f aca="false">IF(J440="","",J440-README!$C$4)</f>
        <v>95</v>
      </c>
      <c r="Q440" s="12" t="str">
        <f aca="false">IF(E440=0,"Out of stock",IF(E440&lt;=F440,"Low stock","OK"))</f>
        <v>OK</v>
      </c>
      <c r="R440" s="12" t="str">
        <f aca="false">IF(J440="","No expiry",IF(P440&lt;0,"Expired",IF(P440&lt;=30,"Expiring &lt;=30 days","OK")))</f>
        <v>OK</v>
      </c>
      <c r="S440" s="12"/>
    </row>
    <row r="441" customFormat="false" ht="15" hidden="false" customHeight="false" outlineLevel="0" collapsed="false">
      <c r="A441" s="12" t="s">
        <v>3377</v>
      </c>
      <c r="B441" s="12" t="s">
        <v>1332</v>
      </c>
      <c r="C441" s="12" t="s">
        <v>2192</v>
      </c>
      <c r="D441" s="12" t="s">
        <v>2193</v>
      </c>
      <c r="E441" s="12" t="n">
        <v>69</v>
      </c>
      <c r="F441" s="12" t="n">
        <v>11</v>
      </c>
      <c r="G441" s="15" t="n">
        <v>13900</v>
      </c>
      <c r="H441" s="15" t="n">
        <v>16000</v>
      </c>
      <c r="I441" s="12" t="s">
        <v>3378</v>
      </c>
      <c r="J441" s="17" t="n">
        <v>46475</v>
      </c>
      <c r="K441" s="12" t="s">
        <v>1120</v>
      </c>
      <c r="L441" s="12" t="n">
        <v>48</v>
      </c>
      <c r="M441" s="15" t="n">
        <f aca="false">E441*G441</f>
        <v>959100</v>
      </c>
      <c r="N441" s="15" t="n">
        <f aca="false">E441*H441</f>
        <v>1104000</v>
      </c>
      <c r="O441" s="18" t="n">
        <f aca="false">IF(H441=0,"",(H441-G441)/H441)</f>
        <v>0.13125</v>
      </c>
      <c r="P441" s="12" t="n">
        <f aca="false">IF(J441="","",J441-README!$C$4)</f>
        <v>153</v>
      </c>
      <c r="Q441" s="12" t="str">
        <f aca="false">IF(E441=0,"Out of stock",IF(E441&lt;=F441,"Low stock","OK"))</f>
        <v>OK</v>
      </c>
      <c r="R441" s="12" t="str">
        <f aca="false">IF(J441="","No expiry",IF(P441&lt;0,"Expired",IF(P441&lt;=30,"Expiring &lt;=30 days","OK")))</f>
        <v>OK</v>
      </c>
      <c r="S441" s="12"/>
    </row>
    <row r="442" customFormat="false" ht="15" hidden="false" customHeight="false" outlineLevel="0" collapsed="false">
      <c r="A442" s="12" t="s">
        <v>3379</v>
      </c>
      <c r="B442" s="12" t="s">
        <v>1332</v>
      </c>
      <c r="C442" s="12" t="s">
        <v>2198</v>
      </c>
      <c r="D442" s="12" t="s">
        <v>2199</v>
      </c>
      <c r="E442" s="12" t="n">
        <v>29</v>
      </c>
      <c r="F442" s="12" t="n">
        <v>11</v>
      </c>
      <c r="G442" s="15" t="n">
        <v>35500</v>
      </c>
      <c r="H442" s="15" t="n">
        <v>42000</v>
      </c>
      <c r="I442" s="12" t="s">
        <v>3380</v>
      </c>
      <c r="J442" s="17" t="n">
        <v>46470</v>
      </c>
      <c r="K442" s="12" t="s">
        <v>1120</v>
      </c>
      <c r="L442" s="12" t="n">
        <v>20</v>
      </c>
      <c r="M442" s="15" t="n">
        <f aca="false">E442*G442</f>
        <v>1029500</v>
      </c>
      <c r="N442" s="15" t="n">
        <f aca="false">E442*H442</f>
        <v>1218000</v>
      </c>
      <c r="O442" s="18" t="n">
        <f aca="false">IF(H442=0,"",(H442-G442)/H442)</f>
        <v>0.154761904761905</v>
      </c>
      <c r="P442" s="12" t="n">
        <f aca="false">IF(J442="","",J442-README!$C$4)</f>
        <v>148</v>
      </c>
      <c r="Q442" s="12" t="str">
        <f aca="false">IF(E442=0,"Out of stock",IF(E442&lt;=F442,"Low stock","OK"))</f>
        <v>OK</v>
      </c>
      <c r="R442" s="12" t="str">
        <f aca="false">IF(J442="","No expiry",IF(P442&lt;0,"Expired",IF(P442&lt;=30,"Expiring &lt;=30 days","OK")))</f>
        <v>OK</v>
      </c>
      <c r="S442" s="12"/>
    </row>
    <row r="443" customFormat="false" ht="15" hidden="false" customHeight="false" outlineLevel="0" collapsed="false">
      <c r="A443" s="12" t="s">
        <v>3381</v>
      </c>
      <c r="B443" s="12" t="s">
        <v>1332</v>
      </c>
      <c r="C443" s="12" t="s">
        <v>2205</v>
      </c>
      <c r="D443" s="12" t="s">
        <v>2206</v>
      </c>
      <c r="E443" s="12" t="n">
        <v>29</v>
      </c>
      <c r="F443" s="12" t="n">
        <v>11</v>
      </c>
      <c r="G443" s="15" t="n">
        <v>10600</v>
      </c>
      <c r="H443" s="15" t="n">
        <v>12500</v>
      </c>
      <c r="I443" s="12" t="s">
        <v>3382</v>
      </c>
      <c r="J443" s="17" t="n">
        <v>46360</v>
      </c>
      <c r="K443" s="12" t="s">
        <v>1120</v>
      </c>
      <c r="L443" s="12" t="n">
        <v>20</v>
      </c>
      <c r="M443" s="15" t="n">
        <f aca="false">E443*G443</f>
        <v>307400</v>
      </c>
      <c r="N443" s="15" t="n">
        <f aca="false">E443*H443</f>
        <v>362500</v>
      </c>
      <c r="O443" s="18" t="n">
        <f aca="false">IF(H443=0,"",(H443-G443)/H443)</f>
        <v>0.152</v>
      </c>
      <c r="P443" s="12" t="n">
        <f aca="false">IF(J443="","",J443-README!$C$4)</f>
        <v>38</v>
      </c>
      <c r="Q443" s="12" t="str">
        <f aca="false">IF(E443=0,"Out of stock",IF(E443&lt;=F443,"Low stock","OK"))</f>
        <v>OK</v>
      </c>
      <c r="R443" s="12" t="str">
        <f aca="false">IF(J443="","No expiry",IF(P443&lt;0,"Expired",IF(P443&lt;=30,"Expiring &lt;=30 days","OK")))</f>
        <v>OK</v>
      </c>
      <c r="S443" s="12"/>
    </row>
    <row r="444" customFormat="false" ht="15" hidden="false" customHeight="false" outlineLevel="0" collapsed="false">
      <c r="A444" s="12" t="s">
        <v>3383</v>
      </c>
      <c r="B444" s="12" t="s">
        <v>1332</v>
      </c>
      <c r="C444" s="12" t="s">
        <v>2212</v>
      </c>
      <c r="D444" s="12" t="s">
        <v>2214</v>
      </c>
      <c r="E444" s="12" t="n">
        <v>188</v>
      </c>
      <c r="F444" s="12" t="n">
        <v>28</v>
      </c>
      <c r="G444" s="15" t="n">
        <v>3400</v>
      </c>
      <c r="H444" s="15" t="n">
        <v>4200</v>
      </c>
      <c r="I444" s="12" t="s">
        <v>3384</v>
      </c>
      <c r="J444" s="17" t="n">
        <v>46519</v>
      </c>
      <c r="K444" s="12" t="s">
        <v>1120</v>
      </c>
      <c r="L444" s="12" t="n">
        <v>131</v>
      </c>
      <c r="M444" s="15" t="n">
        <f aca="false">E444*G444</f>
        <v>639200</v>
      </c>
      <c r="N444" s="15" t="n">
        <f aca="false">E444*H444</f>
        <v>789600</v>
      </c>
      <c r="O444" s="18" t="n">
        <f aca="false">IF(H444=0,"",(H444-G444)/H444)</f>
        <v>0.19047619047619</v>
      </c>
      <c r="P444" s="12" t="n">
        <f aca="false">IF(J444="","",J444-README!$C$4)</f>
        <v>197</v>
      </c>
      <c r="Q444" s="12" t="str">
        <f aca="false">IF(E444=0,"Out of stock",IF(E444&lt;=F444,"Low stock","OK"))</f>
        <v>OK</v>
      </c>
      <c r="R444" s="12" t="str">
        <f aca="false">IF(J444="","No expiry",IF(P444&lt;0,"Expired",IF(P444&lt;=30,"Expiring &lt;=30 days","OK")))</f>
        <v>OK</v>
      </c>
      <c r="S444" s="12"/>
    </row>
    <row r="445" customFormat="false" ht="15" hidden="false" customHeight="false" outlineLevel="0" collapsed="false">
      <c r="A445" s="12" t="s">
        <v>3385</v>
      </c>
      <c r="B445" s="12" t="s">
        <v>1332</v>
      </c>
      <c r="C445" s="12" t="s">
        <v>2216</v>
      </c>
      <c r="D445" s="12" t="s">
        <v>2218</v>
      </c>
      <c r="E445" s="12" t="n">
        <v>31</v>
      </c>
      <c r="F445" s="12" t="n">
        <v>28</v>
      </c>
      <c r="G445" s="15" t="n">
        <v>8100</v>
      </c>
      <c r="H445" s="15" t="n">
        <v>9400</v>
      </c>
      <c r="I445" s="12" t="s">
        <v>3386</v>
      </c>
      <c r="J445" s="17" t="n">
        <v>46748</v>
      </c>
      <c r="K445" s="12" t="s">
        <v>1120</v>
      </c>
      <c r="L445" s="12" t="n">
        <v>21</v>
      </c>
      <c r="M445" s="15" t="n">
        <f aca="false">E445*G445</f>
        <v>251100</v>
      </c>
      <c r="N445" s="15" t="n">
        <f aca="false">E445*H445</f>
        <v>291400</v>
      </c>
      <c r="O445" s="18" t="n">
        <f aca="false">IF(H445=0,"",(H445-G445)/H445)</f>
        <v>0.138297872340426</v>
      </c>
      <c r="P445" s="12" t="n">
        <f aca="false">IF(J445="","",J445-README!$C$4)</f>
        <v>426</v>
      </c>
      <c r="Q445" s="12" t="str">
        <f aca="false">IF(E445=0,"Out of stock",IF(E445&lt;=F445,"Low stock","OK"))</f>
        <v>OK</v>
      </c>
      <c r="R445" s="12" t="str">
        <f aca="false">IF(J445="","No expiry",IF(P445&lt;0,"Expired",IF(P445&lt;=30,"Expiring &lt;=30 days","OK")))</f>
        <v>OK</v>
      </c>
      <c r="S445" s="12"/>
    </row>
    <row r="446" customFormat="false" ht="15" hidden="false" customHeight="false" outlineLevel="0" collapsed="false">
      <c r="A446" s="12" t="s">
        <v>3387</v>
      </c>
      <c r="B446" s="12" t="s">
        <v>1332</v>
      </c>
      <c r="C446" s="12" t="s">
        <v>2208</v>
      </c>
      <c r="D446" s="12" t="s">
        <v>2210</v>
      </c>
      <c r="E446" s="12" t="n">
        <v>144</v>
      </c>
      <c r="F446" s="12" t="n">
        <v>28</v>
      </c>
      <c r="G446" s="15" t="n">
        <v>1400</v>
      </c>
      <c r="H446" s="15" t="n">
        <v>1600</v>
      </c>
      <c r="I446" s="12" t="s">
        <v>3388</v>
      </c>
      <c r="J446" s="17" t="n">
        <v>46726</v>
      </c>
      <c r="K446" s="12" t="s">
        <v>1120</v>
      </c>
      <c r="L446" s="12" t="n">
        <v>100</v>
      </c>
      <c r="M446" s="15" t="n">
        <f aca="false">E446*G446</f>
        <v>201600</v>
      </c>
      <c r="N446" s="15" t="n">
        <f aca="false">E446*H446</f>
        <v>230400</v>
      </c>
      <c r="O446" s="18" t="n">
        <f aca="false">IF(H446=0,"",(H446-G446)/H446)</f>
        <v>0.125</v>
      </c>
      <c r="P446" s="12" t="n">
        <f aca="false">IF(J446="","",J446-README!$C$4)</f>
        <v>404</v>
      </c>
      <c r="Q446" s="12" t="str">
        <f aca="false">IF(E446=0,"Out of stock",IF(E446&lt;=F446,"Low stock","OK"))</f>
        <v>OK</v>
      </c>
      <c r="R446" s="12" t="str">
        <f aca="false">IF(J446="","No expiry",IF(P446&lt;0,"Expired",IF(P446&lt;=30,"Expiring &lt;=30 days","OK")))</f>
        <v>OK</v>
      </c>
      <c r="S446" s="12"/>
    </row>
    <row r="447" customFormat="false" ht="15" hidden="false" customHeight="false" outlineLevel="0" collapsed="false">
      <c r="A447" s="12" t="s">
        <v>3389</v>
      </c>
      <c r="B447" s="12" t="s">
        <v>1332</v>
      </c>
      <c r="C447" s="12" t="s">
        <v>2223</v>
      </c>
      <c r="D447" s="12" t="s">
        <v>2224</v>
      </c>
      <c r="E447" s="12" t="n">
        <v>139</v>
      </c>
      <c r="F447" s="12" t="n">
        <v>28</v>
      </c>
      <c r="G447" s="15" t="n">
        <v>4000</v>
      </c>
      <c r="H447" s="15" t="n">
        <v>4700</v>
      </c>
      <c r="I447" s="12" t="s">
        <v>3390</v>
      </c>
      <c r="J447" s="17" t="n">
        <v>46472</v>
      </c>
      <c r="K447" s="12" t="s">
        <v>1120</v>
      </c>
      <c r="L447" s="12" t="n">
        <v>97</v>
      </c>
      <c r="M447" s="15" t="n">
        <f aca="false">E447*G447</f>
        <v>556000</v>
      </c>
      <c r="N447" s="15" t="n">
        <f aca="false">E447*H447</f>
        <v>653300</v>
      </c>
      <c r="O447" s="18" t="n">
        <f aca="false">IF(H447=0,"",(H447-G447)/H447)</f>
        <v>0.148936170212766</v>
      </c>
      <c r="P447" s="12" t="n">
        <f aca="false">IF(J447="","",J447-README!$C$4)</f>
        <v>150</v>
      </c>
      <c r="Q447" s="12" t="str">
        <f aca="false">IF(E447=0,"Out of stock",IF(E447&lt;=F447,"Low stock","OK"))</f>
        <v>OK</v>
      </c>
      <c r="R447" s="12" t="str">
        <f aca="false">IF(J447="","No expiry",IF(P447&lt;0,"Expired",IF(P447&lt;=30,"Expiring &lt;=30 days","OK")))</f>
        <v>OK</v>
      </c>
      <c r="S447" s="12"/>
    </row>
    <row r="448" customFormat="false" ht="15" hidden="false" customHeight="false" outlineLevel="0" collapsed="false">
      <c r="A448" s="12" t="s">
        <v>3391</v>
      </c>
      <c r="B448" s="12" t="s">
        <v>1332</v>
      </c>
      <c r="C448" s="12" t="s">
        <v>2226</v>
      </c>
      <c r="D448" s="12" t="s">
        <v>2227</v>
      </c>
      <c r="E448" s="12" t="n">
        <v>183</v>
      </c>
      <c r="F448" s="12" t="n">
        <v>28</v>
      </c>
      <c r="G448" s="15" t="n">
        <v>8800</v>
      </c>
      <c r="H448" s="15" t="n">
        <v>10500</v>
      </c>
      <c r="I448" s="12" t="s">
        <v>3392</v>
      </c>
      <c r="J448" s="17" t="n">
        <v>46952</v>
      </c>
      <c r="K448" s="12" t="s">
        <v>1120</v>
      </c>
      <c r="L448" s="12" t="n">
        <v>128</v>
      </c>
      <c r="M448" s="15" t="n">
        <f aca="false">E448*G448</f>
        <v>1610400</v>
      </c>
      <c r="N448" s="15" t="n">
        <f aca="false">E448*H448</f>
        <v>1921500</v>
      </c>
      <c r="O448" s="18" t="n">
        <f aca="false">IF(H448=0,"",(H448-G448)/H448)</f>
        <v>0.161904761904762</v>
      </c>
      <c r="P448" s="12" t="n">
        <f aca="false">IF(J448="","",J448-README!$C$4)</f>
        <v>630</v>
      </c>
      <c r="Q448" s="12" t="str">
        <f aca="false">IF(E448=0,"Out of stock",IF(E448&lt;=F448,"Low stock","OK"))</f>
        <v>OK</v>
      </c>
      <c r="R448" s="12" t="str">
        <f aca="false">IF(J448="","No expiry",IF(P448&lt;0,"Expired",IF(P448&lt;=30,"Expiring &lt;=30 days","OK")))</f>
        <v>OK</v>
      </c>
      <c r="S448" s="12"/>
    </row>
    <row r="449" customFormat="false" ht="15" hidden="false" customHeight="false" outlineLevel="0" collapsed="false">
      <c r="A449" s="12" t="s">
        <v>3393</v>
      </c>
      <c r="B449" s="12" t="s">
        <v>1332</v>
      </c>
      <c r="C449" s="12" t="s">
        <v>2229</v>
      </c>
      <c r="D449" s="12" t="s">
        <v>2230</v>
      </c>
      <c r="E449" s="12" t="n">
        <v>31</v>
      </c>
      <c r="F449" s="12" t="n">
        <v>28</v>
      </c>
      <c r="G449" s="15" t="n">
        <v>3500</v>
      </c>
      <c r="H449" s="15" t="n">
        <v>4200</v>
      </c>
      <c r="I449" s="12" t="s">
        <v>3394</v>
      </c>
      <c r="J449" s="17" t="n">
        <v>46870</v>
      </c>
      <c r="K449" s="12" t="s">
        <v>1120</v>
      </c>
      <c r="L449" s="12" t="n">
        <v>21</v>
      </c>
      <c r="M449" s="15" t="n">
        <f aca="false">E449*G449</f>
        <v>108500</v>
      </c>
      <c r="N449" s="15" t="n">
        <f aca="false">E449*H449</f>
        <v>130200</v>
      </c>
      <c r="O449" s="18" t="n">
        <f aca="false">IF(H449=0,"",(H449-G449)/H449)</f>
        <v>0.166666666666667</v>
      </c>
      <c r="P449" s="12" t="n">
        <f aca="false">IF(J449="","",J449-README!$C$4)</f>
        <v>548</v>
      </c>
      <c r="Q449" s="12" t="str">
        <f aca="false">IF(E449=0,"Out of stock",IF(E449&lt;=F449,"Low stock","OK"))</f>
        <v>OK</v>
      </c>
      <c r="R449" s="12" t="str">
        <f aca="false">IF(J449="","No expiry",IF(P449&lt;0,"Expired",IF(P449&lt;=30,"Expiring &lt;=30 days","OK")))</f>
        <v>OK</v>
      </c>
      <c r="S449" s="12"/>
    </row>
    <row r="450" customFormat="false" ht="15" hidden="false" customHeight="false" outlineLevel="0" collapsed="false">
      <c r="A450" s="12" t="s">
        <v>3395</v>
      </c>
      <c r="B450" s="12" t="s">
        <v>1332</v>
      </c>
      <c r="C450" s="12" t="s">
        <v>2232</v>
      </c>
      <c r="D450" s="12" t="s">
        <v>2234</v>
      </c>
      <c r="E450" s="12" t="n">
        <v>20</v>
      </c>
      <c r="F450" s="12" t="n">
        <v>3</v>
      </c>
      <c r="G450" s="15" t="n">
        <v>28300</v>
      </c>
      <c r="H450" s="15" t="n">
        <v>31500</v>
      </c>
      <c r="I450" s="12" t="s">
        <v>3396</v>
      </c>
      <c r="J450" s="17" t="n">
        <v>46629</v>
      </c>
      <c r="K450" s="12" t="s">
        <v>1120</v>
      </c>
      <c r="L450" s="12" t="n">
        <v>14</v>
      </c>
      <c r="M450" s="15" t="n">
        <f aca="false">E450*G450</f>
        <v>566000</v>
      </c>
      <c r="N450" s="15" t="n">
        <f aca="false">E450*H450</f>
        <v>630000</v>
      </c>
      <c r="O450" s="18" t="n">
        <f aca="false">IF(H450=0,"",(H450-G450)/H450)</f>
        <v>0.101587301587302</v>
      </c>
      <c r="P450" s="12" t="n">
        <f aca="false">IF(J450="","",J450-README!$C$4)</f>
        <v>307</v>
      </c>
      <c r="Q450" s="12" t="str">
        <f aca="false">IF(E450=0,"Out of stock",IF(E450&lt;=F450,"Low stock","OK"))</f>
        <v>OK</v>
      </c>
      <c r="R450" s="12" t="str">
        <f aca="false">IF(J450="","No expiry",IF(P450&lt;0,"Expired",IF(P450&lt;=30,"Expiring &lt;=30 days","OK")))</f>
        <v>OK</v>
      </c>
      <c r="S450" s="12"/>
    </row>
    <row r="451" customFormat="false" ht="15" hidden="false" customHeight="false" outlineLevel="0" collapsed="false">
      <c r="A451" s="12" t="s">
        <v>3397</v>
      </c>
      <c r="B451" s="12" t="s">
        <v>1332</v>
      </c>
      <c r="C451" s="12" t="s">
        <v>2236</v>
      </c>
      <c r="D451" s="12" t="s">
        <v>2238</v>
      </c>
      <c r="E451" s="12" t="n">
        <v>36</v>
      </c>
      <c r="F451" s="12" t="n">
        <v>8</v>
      </c>
      <c r="G451" s="15" t="n">
        <v>10300</v>
      </c>
      <c r="H451" s="15" t="n">
        <v>12500</v>
      </c>
      <c r="I451" s="12" t="s">
        <v>3398</v>
      </c>
      <c r="J451" s="17" t="n">
        <v>46477</v>
      </c>
      <c r="K451" s="12" t="s">
        <v>1120</v>
      </c>
      <c r="L451" s="12" t="n">
        <v>25</v>
      </c>
      <c r="M451" s="15" t="n">
        <f aca="false">E451*G451</f>
        <v>370800</v>
      </c>
      <c r="N451" s="15" t="n">
        <f aca="false">E451*H451</f>
        <v>450000</v>
      </c>
      <c r="O451" s="18" t="n">
        <f aca="false">IF(H451=0,"",(H451-G451)/H451)</f>
        <v>0.176</v>
      </c>
      <c r="P451" s="12" t="n">
        <f aca="false">IF(J451="","",J451-README!$C$4)</f>
        <v>155</v>
      </c>
      <c r="Q451" s="12" t="str">
        <f aca="false">IF(E451=0,"Out of stock",IF(E451&lt;=F451,"Low stock","OK"))</f>
        <v>OK</v>
      </c>
      <c r="R451" s="12" t="str">
        <f aca="false">IF(J451="","No expiry",IF(P451&lt;0,"Expired",IF(P451&lt;=30,"Expiring &lt;=30 days","OK")))</f>
        <v>OK</v>
      </c>
      <c r="S451" s="12"/>
    </row>
    <row r="452" customFormat="false" ht="15" hidden="false" customHeight="false" outlineLevel="0" collapsed="false">
      <c r="A452" s="12" t="s">
        <v>3399</v>
      </c>
      <c r="B452" s="12" t="s">
        <v>1332</v>
      </c>
      <c r="C452" s="12" t="s">
        <v>2244</v>
      </c>
      <c r="D452" s="12" t="s">
        <v>2246</v>
      </c>
      <c r="E452" s="12" t="n">
        <v>33</v>
      </c>
      <c r="F452" s="12" t="n">
        <v>8</v>
      </c>
      <c r="G452" s="15" t="n">
        <v>26300</v>
      </c>
      <c r="H452" s="15" t="n">
        <v>29500</v>
      </c>
      <c r="I452" s="12" t="s">
        <v>3400</v>
      </c>
      <c r="J452" s="17" t="n">
        <v>46573</v>
      </c>
      <c r="K452" s="12" t="s">
        <v>1120</v>
      </c>
      <c r="L452" s="12" t="n">
        <v>23</v>
      </c>
      <c r="M452" s="15" t="n">
        <f aca="false">E452*G452</f>
        <v>867900</v>
      </c>
      <c r="N452" s="15" t="n">
        <f aca="false">E452*H452</f>
        <v>973500</v>
      </c>
      <c r="O452" s="18" t="n">
        <f aca="false">IF(H452=0,"",(H452-G452)/H452)</f>
        <v>0.108474576271186</v>
      </c>
      <c r="P452" s="12" t="n">
        <f aca="false">IF(J452="","",J452-README!$C$4)</f>
        <v>251</v>
      </c>
      <c r="Q452" s="12" t="str">
        <f aca="false">IF(E452=0,"Out of stock",IF(E452&lt;=F452,"Low stock","OK"))</f>
        <v>OK</v>
      </c>
      <c r="R452" s="12" t="str">
        <f aca="false">IF(J452="","No expiry",IF(P452&lt;0,"Expired",IF(P452&lt;=30,"Expiring &lt;=30 days","OK")))</f>
        <v>OK</v>
      </c>
      <c r="S452" s="12"/>
    </row>
    <row r="453" customFormat="false" ht="15" hidden="false" customHeight="false" outlineLevel="0" collapsed="false">
      <c r="A453" s="12" t="s">
        <v>3401</v>
      </c>
      <c r="B453" s="12" t="s">
        <v>1332</v>
      </c>
      <c r="C453" s="12" t="s">
        <v>2240</v>
      </c>
      <c r="D453" s="12" t="s">
        <v>2242</v>
      </c>
      <c r="E453" s="12" t="n">
        <v>13</v>
      </c>
      <c r="F453" s="12" t="n">
        <v>8</v>
      </c>
      <c r="G453" s="15" t="n">
        <v>13500</v>
      </c>
      <c r="H453" s="15" t="n">
        <v>16000</v>
      </c>
      <c r="I453" s="12" t="s">
        <v>3402</v>
      </c>
      <c r="J453" s="17" t="n">
        <v>46870</v>
      </c>
      <c r="K453" s="12" t="s">
        <v>1120</v>
      </c>
      <c r="L453" s="12" t="n">
        <v>9</v>
      </c>
      <c r="M453" s="15" t="n">
        <f aca="false">E453*G453</f>
        <v>175500</v>
      </c>
      <c r="N453" s="15" t="n">
        <f aca="false">E453*H453</f>
        <v>208000</v>
      </c>
      <c r="O453" s="18" t="n">
        <f aca="false">IF(H453=0,"",(H453-G453)/H453)</f>
        <v>0.15625</v>
      </c>
      <c r="P453" s="12" t="n">
        <f aca="false">IF(J453="","",J453-README!$C$4)</f>
        <v>548</v>
      </c>
      <c r="Q453" s="12" t="str">
        <f aca="false">IF(E453=0,"Out of stock",IF(E453&lt;=F453,"Low stock","OK"))</f>
        <v>OK</v>
      </c>
      <c r="R453" s="12" t="str">
        <f aca="false">IF(J453="","No expiry",IF(P453&lt;0,"Expired",IF(P453&lt;=30,"Expiring &lt;=30 days","OK")))</f>
        <v>OK</v>
      </c>
      <c r="S453" s="12"/>
    </row>
    <row r="454" customFormat="false" ht="15" hidden="false" customHeight="false" outlineLevel="0" collapsed="false">
      <c r="A454" s="12" t="s">
        <v>3403</v>
      </c>
      <c r="B454" s="12" t="s">
        <v>1332</v>
      </c>
      <c r="C454" s="12" t="s">
        <v>2251</v>
      </c>
      <c r="D454" s="12" t="s">
        <v>2252</v>
      </c>
      <c r="E454" s="12" t="n">
        <v>62</v>
      </c>
      <c r="F454" s="12" t="n">
        <v>28</v>
      </c>
      <c r="G454" s="15" t="n">
        <v>3100</v>
      </c>
      <c r="H454" s="15" t="n">
        <v>3700</v>
      </c>
      <c r="I454" s="12" t="s">
        <v>3404</v>
      </c>
      <c r="J454" s="17" t="n">
        <v>46767</v>
      </c>
      <c r="K454" s="12" t="s">
        <v>1120</v>
      </c>
      <c r="L454" s="12" t="n">
        <v>43</v>
      </c>
      <c r="M454" s="15" t="n">
        <f aca="false">E454*G454</f>
        <v>192200</v>
      </c>
      <c r="N454" s="15" t="n">
        <f aca="false">E454*H454</f>
        <v>229400</v>
      </c>
      <c r="O454" s="18" t="n">
        <f aca="false">IF(H454=0,"",(H454-G454)/H454)</f>
        <v>0.162162162162162</v>
      </c>
      <c r="P454" s="12" t="n">
        <f aca="false">IF(J454="","",J454-README!$C$4)</f>
        <v>445</v>
      </c>
      <c r="Q454" s="12" t="str">
        <f aca="false">IF(E454=0,"Out of stock",IF(E454&lt;=F454,"Low stock","OK"))</f>
        <v>OK</v>
      </c>
      <c r="R454" s="12" t="str">
        <f aca="false">IF(J454="","No expiry",IF(P454&lt;0,"Expired",IF(P454&lt;=30,"Expiring &lt;=30 days","OK")))</f>
        <v>OK</v>
      </c>
      <c r="S454" s="12"/>
    </row>
    <row r="455" customFormat="false" ht="15" hidden="false" customHeight="false" outlineLevel="0" collapsed="false">
      <c r="A455" s="12" t="s">
        <v>3405</v>
      </c>
      <c r="B455" s="12" t="s">
        <v>1332</v>
      </c>
      <c r="C455" s="12" t="s">
        <v>2254</v>
      </c>
      <c r="D455" s="12" t="s">
        <v>2255</v>
      </c>
      <c r="E455" s="12" t="n">
        <v>151</v>
      </c>
      <c r="F455" s="12" t="n">
        <v>28</v>
      </c>
      <c r="G455" s="15" t="n">
        <v>7400</v>
      </c>
      <c r="H455" s="15" t="n">
        <v>8400</v>
      </c>
      <c r="I455" s="12" t="s">
        <v>3406</v>
      </c>
      <c r="J455" s="17" t="n">
        <v>46465</v>
      </c>
      <c r="K455" s="12" t="s">
        <v>1120</v>
      </c>
      <c r="L455" s="12" t="n">
        <v>105</v>
      </c>
      <c r="M455" s="15" t="n">
        <f aca="false">E455*G455</f>
        <v>1117400</v>
      </c>
      <c r="N455" s="15" t="n">
        <f aca="false">E455*H455</f>
        <v>1268400</v>
      </c>
      <c r="O455" s="18" t="n">
        <f aca="false">IF(H455=0,"",(H455-G455)/H455)</f>
        <v>0.119047619047619</v>
      </c>
      <c r="P455" s="12" t="n">
        <f aca="false">IF(J455="","",J455-README!$C$4)</f>
        <v>143</v>
      </c>
      <c r="Q455" s="12" t="str">
        <f aca="false">IF(E455=0,"Out of stock",IF(E455&lt;=F455,"Low stock","OK"))</f>
        <v>OK</v>
      </c>
      <c r="R455" s="12" t="str">
        <f aca="false">IF(J455="","No expiry",IF(P455&lt;0,"Expired",IF(P455&lt;=30,"Expiring &lt;=30 days","OK")))</f>
        <v>OK</v>
      </c>
      <c r="S455" s="12"/>
    </row>
    <row r="456" customFormat="false" ht="15" hidden="false" customHeight="false" outlineLevel="0" collapsed="false">
      <c r="A456" s="12" t="s">
        <v>3407</v>
      </c>
      <c r="B456" s="12" t="s">
        <v>1332</v>
      </c>
      <c r="C456" s="12" t="s">
        <v>2248</v>
      </c>
      <c r="D456" s="12" t="s">
        <v>2249</v>
      </c>
      <c r="E456" s="12" t="n">
        <v>140</v>
      </c>
      <c r="F456" s="12" t="n">
        <v>28</v>
      </c>
      <c r="G456" s="15" t="n">
        <v>1100</v>
      </c>
      <c r="H456" s="15" t="n">
        <v>1300</v>
      </c>
      <c r="I456" s="12" t="s">
        <v>3408</v>
      </c>
      <c r="J456" s="17" t="n">
        <v>46727</v>
      </c>
      <c r="K456" s="12" t="s">
        <v>1120</v>
      </c>
      <c r="L456" s="12" t="n">
        <v>98</v>
      </c>
      <c r="M456" s="15" t="n">
        <f aca="false">E456*G456</f>
        <v>154000</v>
      </c>
      <c r="N456" s="15" t="n">
        <f aca="false">E456*H456</f>
        <v>182000</v>
      </c>
      <c r="O456" s="18" t="n">
        <f aca="false">IF(H456=0,"",(H456-G456)/H456)</f>
        <v>0.153846153846154</v>
      </c>
      <c r="P456" s="12" t="n">
        <f aca="false">IF(J456="","",J456-README!$C$4)</f>
        <v>405</v>
      </c>
      <c r="Q456" s="12" t="str">
        <f aca="false">IF(E456=0,"Out of stock",IF(E456&lt;=F456,"Low stock","OK"))</f>
        <v>OK</v>
      </c>
      <c r="R456" s="12" t="str">
        <f aca="false">IF(J456="","No expiry",IF(P456&lt;0,"Expired",IF(P456&lt;=30,"Expiring &lt;=30 days","OK")))</f>
        <v>OK</v>
      </c>
      <c r="S456" s="12"/>
    </row>
    <row r="457" customFormat="false" ht="15" hidden="false" customHeight="false" outlineLevel="0" collapsed="false">
      <c r="A457" s="12" t="s">
        <v>3409</v>
      </c>
      <c r="B457" s="12" t="s">
        <v>1332</v>
      </c>
      <c r="C457" s="12" t="s">
        <v>2257</v>
      </c>
      <c r="D457" s="12" t="s">
        <v>2258</v>
      </c>
      <c r="E457" s="12" t="n">
        <v>182</v>
      </c>
      <c r="F457" s="12" t="n">
        <v>28</v>
      </c>
      <c r="G457" s="15" t="n">
        <v>2800</v>
      </c>
      <c r="H457" s="15" t="n">
        <v>3200</v>
      </c>
      <c r="I457" s="12" t="s">
        <v>3410</v>
      </c>
      <c r="J457" s="17" t="n">
        <v>46977</v>
      </c>
      <c r="K457" s="12" t="s">
        <v>1120</v>
      </c>
      <c r="L457" s="12" t="n">
        <v>127</v>
      </c>
      <c r="M457" s="15" t="n">
        <f aca="false">E457*G457</f>
        <v>509600</v>
      </c>
      <c r="N457" s="15" t="n">
        <f aca="false">E457*H457</f>
        <v>582400</v>
      </c>
      <c r="O457" s="18" t="n">
        <f aca="false">IF(H457=0,"",(H457-G457)/H457)</f>
        <v>0.125</v>
      </c>
      <c r="P457" s="12" t="n">
        <f aca="false">IF(J457="","",J457-README!$C$4)</f>
        <v>655</v>
      </c>
      <c r="Q457" s="12" t="str">
        <f aca="false">IF(E457=0,"Out of stock",IF(E457&lt;=F457,"Low stock","OK"))</f>
        <v>OK</v>
      </c>
      <c r="R457" s="12" t="str">
        <f aca="false">IF(J457="","No expiry",IF(P457&lt;0,"Expired",IF(P457&lt;=30,"Expiring &lt;=30 days","OK")))</f>
        <v>OK</v>
      </c>
      <c r="S457" s="12"/>
    </row>
    <row r="458" customFormat="false" ht="15" hidden="false" customHeight="false" outlineLevel="0" collapsed="false">
      <c r="A458" s="12" t="s">
        <v>3411</v>
      </c>
      <c r="B458" s="12" t="s">
        <v>1332</v>
      </c>
      <c r="C458" s="12" t="s">
        <v>2260</v>
      </c>
      <c r="D458" s="12" t="s">
        <v>2262</v>
      </c>
      <c r="E458" s="12" t="n">
        <v>18</v>
      </c>
      <c r="F458" s="12" t="n">
        <v>4</v>
      </c>
      <c r="G458" s="15" t="n">
        <v>6500</v>
      </c>
      <c r="H458" s="15" t="n">
        <v>7400</v>
      </c>
      <c r="I458" s="12" t="s">
        <v>3412</v>
      </c>
      <c r="J458" s="17" t="n">
        <v>46571</v>
      </c>
      <c r="K458" s="12" t="s">
        <v>1120</v>
      </c>
      <c r="L458" s="12" t="n">
        <v>12</v>
      </c>
      <c r="M458" s="15" t="n">
        <f aca="false">E458*G458</f>
        <v>117000</v>
      </c>
      <c r="N458" s="15" t="n">
        <f aca="false">E458*H458</f>
        <v>133200</v>
      </c>
      <c r="O458" s="18" t="n">
        <f aca="false">IF(H458=0,"",(H458-G458)/H458)</f>
        <v>0.121621621621622</v>
      </c>
      <c r="P458" s="12" t="n">
        <f aca="false">IF(J458="","",J458-README!$C$4)</f>
        <v>249</v>
      </c>
      <c r="Q458" s="12" t="str">
        <f aca="false">IF(E458=0,"Out of stock",IF(E458&lt;=F458,"Low stock","OK"))</f>
        <v>OK</v>
      </c>
      <c r="R458" s="12" t="str">
        <f aca="false">IF(J458="","No expiry",IF(P458&lt;0,"Expired",IF(P458&lt;=30,"Expiring &lt;=30 days","OK")))</f>
        <v>OK</v>
      </c>
      <c r="S458" s="12"/>
    </row>
    <row r="459" customFormat="false" ht="15" hidden="false" customHeight="false" outlineLevel="0" collapsed="false">
      <c r="A459" s="12" t="s">
        <v>3413</v>
      </c>
      <c r="B459" s="12" t="s">
        <v>1332</v>
      </c>
      <c r="C459" s="12" t="s">
        <v>2264</v>
      </c>
      <c r="D459" s="12" t="s">
        <v>2266</v>
      </c>
      <c r="E459" s="12" t="n">
        <v>14</v>
      </c>
      <c r="F459" s="12" t="n">
        <v>4</v>
      </c>
      <c r="G459" s="15" t="n">
        <v>13600</v>
      </c>
      <c r="H459" s="15" t="n">
        <v>16000</v>
      </c>
      <c r="I459" s="12" t="s">
        <v>3414</v>
      </c>
      <c r="J459" s="17" t="n">
        <v>46656</v>
      </c>
      <c r="K459" s="12" t="s">
        <v>1120</v>
      </c>
      <c r="L459" s="12" t="n">
        <v>9</v>
      </c>
      <c r="M459" s="15" t="n">
        <f aca="false">E459*G459</f>
        <v>190400</v>
      </c>
      <c r="N459" s="15" t="n">
        <f aca="false">E459*H459</f>
        <v>224000</v>
      </c>
      <c r="O459" s="18" t="n">
        <f aca="false">IF(H459=0,"",(H459-G459)/H459)</f>
        <v>0.15</v>
      </c>
      <c r="P459" s="12" t="n">
        <f aca="false">IF(J459="","",J459-README!$C$4)</f>
        <v>334</v>
      </c>
      <c r="Q459" s="12" t="str">
        <f aca="false">IF(E459=0,"Out of stock",IF(E459&lt;=F459,"Low stock","OK"))</f>
        <v>OK</v>
      </c>
      <c r="R459" s="12" t="str">
        <f aca="false">IF(J459="","No expiry",IF(P459&lt;0,"Expired",IF(P459&lt;=30,"Expiring &lt;=30 days","OK")))</f>
        <v>OK</v>
      </c>
      <c r="S459" s="12"/>
    </row>
    <row r="460" customFormat="false" ht="15" hidden="false" customHeight="false" outlineLevel="0" collapsed="false">
      <c r="A460" s="12" t="s">
        <v>3415</v>
      </c>
      <c r="B460" s="12" t="s">
        <v>1332</v>
      </c>
      <c r="C460" s="12" t="s">
        <v>2272</v>
      </c>
      <c r="D460" s="12" t="s">
        <v>2274</v>
      </c>
      <c r="E460" s="12" t="n">
        <v>22</v>
      </c>
      <c r="F460" s="12" t="n">
        <v>11</v>
      </c>
      <c r="G460" s="15" t="n">
        <v>86300</v>
      </c>
      <c r="H460" s="15" t="n">
        <v>100000</v>
      </c>
      <c r="I460" s="12" t="s">
        <v>3416</v>
      </c>
      <c r="J460" s="17" t="n">
        <v>46649</v>
      </c>
      <c r="K460" s="12" t="s">
        <v>1120</v>
      </c>
      <c r="L460" s="12" t="n">
        <v>15</v>
      </c>
      <c r="M460" s="15" t="n">
        <f aca="false">E460*G460</f>
        <v>1898600</v>
      </c>
      <c r="N460" s="15" t="n">
        <f aca="false">E460*H460</f>
        <v>2200000</v>
      </c>
      <c r="O460" s="18" t="n">
        <f aca="false">IF(H460=0,"",(H460-G460)/H460)</f>
        <v>0.137</v>
      </c>
      <c r="P460" s="12" t="n">
        <f aca="false">IF(J460="","",J460-README!$C$4)</f>
        <v>327</v>
      </c>
      <c r="Q460" s="12" t="str">
        <f aca="false">IF(E460=0,"Out of stock",IF(E460&lt;=F460,"Low stock","OK"))</f>
        <v>OK</v>
      </c>
      <c r="R460" s="12" t="str">
        <f aca="false">IF(J460="","No expiry",IF(P460&lt;0,"Expired",IF(P460&lt;=30,"Expiring &lt;=30 days","OK")))</f>
        <v>OK</v>
      </c>
      <c r="S460" s="12"/>
    </row>
    <row r="461" customFormat="false" ht="15" hidden="false" customHeight="false" outlineLevel="0" collapsed="false">
      <c r="A461" s="12" t="s">
        <v>3417</v>
      </c>
      <c r="B461" s="12" t="s">
        <v>1332</v>
      </c>
      <c r="C461" s="12" t="s">
        <v>2268</v>
      </c>
      <c r="D461" s="12" t="s">
        <v>2270</v>
      </c>
      <c r="E461" s="12" t="n">
        <v>21</v>
      </c>
      <c r="F461" s="12" t="n">
        <v>8</v>
      </c>
      <c r="G461" s="15" t="n">
        <v>11100</v>
      </c>
      <c r="H461" s="15" t="n">
        <v>12500</v>
      </c>
      <c r="I461" s="12" t="s">
        <v>3418</v>
      </c>
      <c r="J461" s="17" t="n">
        <v>46830</v>
      </c>
      <c r="K461" s="12" t="s">
        <v>1120</v>
      </c>
      <c r="L461" s="12" t="n">
        <v>14</v>
      </c>
      <c r="M461" s="15" t="n">
        <f aca="false">E461*G461</f>
        <v>233100</v>
      </c>
      <c r="N461" s="15" t="n">
        <f aca="false">E461*H461</f>
        <v>262500</v>
      </c>
      <c r="O461" s="18" t="n">
        <f aca="false">IF(H461=0,"",(H461-G461)/H461)</f>
        <v>0.112</v>
      </c>
      <c r="P461" s="12" t="n">
        <f aca="false">IF(J461="","",J461-README!$C$4)</f>
        <v>508</v>
      </c>
      <c r="Q461" s="12" t="str">
        <f aca="false">IF(E461=0,"Out of stock",IF(E461&lt;=F461,"Low stock","OK"))</f>
        <v>OK</v>
      </c>
      <c r="R461" s="12" t="str">
        <f aca="false">IF(J461="","No expiry",IF(P461&lt;0,"Expired",IF(P461&lt;=30,"Expiring &lt;=30 days","OK")))</f>
        <v>OK</v>
      </c>
      <c r="S461" s="12"/>
    </row>
    <row r="462" customFormat="false" ht="15" hidden="false" customHeight="false" outlineLevel="0" collapsed="false">
      <c r="A462" s="12" t="s">
        <v>3419</v>
      </c>
      <c r="B462" s="12" t="s">
        <v>1332</v>
      </c>
      <c r="C462" s="12" t="s">
        <v>2276</v>
      </c>
      <c r="D462" s="12" t="s">
        <v>2277</v>
      </c>
      <c r="E462" s="12" t="n">
        <v>36</v>
      </c>
      <c r="F462" s="12" t="n">
        <v>28</v>
      </c>
      <c r="G462" s="15" t="n">
        <v>5300</v>
      </c>
      <c r="H462" s="15" t="n">
        <v>6300</v>
      </c>
      <c r="I462" s="12" t="s">
        <v>3420</v>
      </c>
      <c r="J462" s="17" t="n">
        <v>46713</v>
      </c>
      <c r="K462" s="12" t="s">
        <v>1120</v>
      </c>
      <c r="L462" s="12" t="n">
        <v>25</v>
      </c>
      <c r="M462" s="15" t="n">
        <f aca="false">E462*G462</f>
        <v>190800</v>
      </c>
      <c r="N462" s="15" t="n">
        <f aca="false">E462*H462</f>
        <v>226800</v>
      </c>
      <c r="O462" s="18" t="n">
        <f aca="false">IF(H462=0,"",(H462-G462)/H462)</f>
        <v>0.158730158730159</v>
      </c>
      <c r="P462" s="12" t="n">
        <f aca="false">IF(J462="","",J462-README!$C$4)</f>
        <v>391</v>
      </c>
      <c r="Q462" s="12" t="str">
        <f aca="false">IF(E462=0,"Out of stock",IF(E462&lt;=F462,"Low stock","OK"))</f>
        <v>OK</v>
      </c>
      <c r="R462" s="12" t="str">
        <f aca="false">IF(J462="","No expiry",IF(P462&lt;0,"Expired",IF(P462&lt;=30,"Expiring &lt;=30 days","OK")))</f>
        <v>OK</v>
      </c>
      <c r="S462" s="12"/>
    </row>
    <row r="463" customFormat="false" ht="15" hidden="false" customHeight="false" outlineLevel="0" collapsed="false">
      <c r="A463" s="12" t="s">
        <v>3421</v>
      </c>
      <c r="B463" s="12" t="s">
        <v>1332</v>
      </c>
      <c r="C463" s="12" t="s">
        <v>2279</v>
      </c>
      <c r="D463" s="12" t="s">
        <v>2281</v>
      </c>
      <c r="E463" s="12" t="n">
        <v>19</v>
      </c>
      <c r="F463" s="12" t="n">
        <v>8</v>
      </c>
      <c r="G463" s="15" t="n">
        <v>22600</v>
      </c>
      <c r="H463" s="15" t="n">
        <v>26000</v>
      </c>
      <c r="I463" s="12" t="s">
        <v>3422</v>
      </c>
      <c r="J463" s="17" t="n">
        <v>46690</v>
      </c>
      <c r="K463" s="12" t="s">
        <v>1120</v>
      </c>
      <c r="L463" s="12" t="n">
        <v>13</v>
      </c>
      <c r="M463" s="15" t="n">
        <f aca="false">E463*G463</f>
        <v>429400</v>
      </c>
      <c r="N463" s="15" t="n">
        <f aca="false">E463*H463</f>
        <v>494000</v>
      </c>
      <c r="O463" s="18" t="n">
        <f aca="false">IF(H463=0,"",(H463-G463)/H463)</f>
        <v>0.130769230769231</v>
      </c>
      <c r="P463" s="12" t="n">
        <f aca="false">IF(J463="","",J463-README!$C$4)</f>
        <v>368</v>
      </c>
      <c r="Q463" s="12" t="str">
        <f aca="false">IF(E463=0,"Out of stock",IF(E463&lt;=F463,"Low stock","OK"))</f>
        <v>OK</v>
      </c>
      <c r="R463" s="12" t="str">
        <f aca="false">IF(J463="","No expiry",IF(P463&lt;0,"Expired",IF(P463&lt;=30,"Expiring &lt;=30 days","OK")))</f>
        <v>OK</v>
      </c>
      <c r="S463" s="12"/>
    </row>
    <row r="464" customFormat="false" ht="15" hidden="false" customHeight="false" outlineLevel="0" collapsed="false">
      <c r="A464" s="12" t="s">
        <v>3423</v>
      </c>
      <c r="B464" s="12" t="s">
        <v>1332</v>
      </c>
      <c r="C464" s="12" t="s">
        <v>2283</v>
      </c>
      <c r="D464" s="12" t="s">
        <v>2284</v>
      </c>
      <c r="E464" s="12" t="n">
        <v>54</v>
      </c>
      <c r="F464" s="12" t="n">
        <v>8</v>
      </c>
      <c r="G464" s="15" t="n">
        <v>32700</v>
      </c>
      <c r="H464" s="15" t="n">
        <v>37000</v>
      </c>
      <c r="I464" s="12" t="s">
        <v>3424</v>
      </c>
      <c r="J464" s="17" t="n">
        <v>46774</v>
      </c>
      <c r="K464" s="12" t="s">
        <v>1120</v>
      </c>
      <c r="L464" s="12" t="n">
        <v>37</v>
      </c>
      <c r="M464" s="15" t="n">
        <f aca="false">E464*G464</f>
        <v>1765800</v>
      </c>
      <c r="N464" s="15" t="n">
        <f aca="false">E464*H464</f>
        <v>1998000</v>
      </c>
      <c r="O464" s="18" t="n">
        <f aca="false">IF(H464=0,"",(H464-G464)/H464)</f>
        <v>0.116216216216216</v>
      </c>
      <c r="P464" s="12" t="n">
        <f aca="false">IF(J464="","",J464-README!$C$4)</f>
        <v>452</v>
      </c>
      <c r="Q464" s="12" t="str">
        <f aca="false">IF(E464=0,"Out of stock",IF(E464&lt;=F464,"Low stock","OK"))</f>
        <v>OK</v>
      </c>
      <c r="R464" s="12" t="str">
        <f aca="false">IF(J464="","No expiry",IF(P464&lt;0,"Expired",IF(P464&lt;=30,"Expiring &lt;=30 days","OK")))</f>
        <v>OK</v>
      </c>
      <c r="S464" s="12"/>
    </row>
    <row r="465" customFormat="false" ht="15" hidden="false" customHeight="false" outlineLevel="0" collapsed="false">
      <c r="A465" s="12" t="s">
        <v>3425</v>
      </c>
      <c r="B465" s="12" t="s">
        <v>1332</v>
      </c>
      <c r="C465" s="12" t="s">
        <v>2286</v>
      </c>
      <c r="D465" s="12" t="s">
        <v>2287</v>
      </c>
      <c r="E465" s="12" t="n">
        <v>29</v>
      </c>
      <c r="F465" s="12" t="n">
        <v>8</v>
      </c>
      <c r="G465" s="15" t="n">
        <v>10700</v>
      </c>
      <c r="H465" s="15" t="n">
        <v>12500</v>
      </c>
      <c r="I465" s="12" t="s">
        <v>3426</v>
      </c>
      <c r="J465" s="17" t="n">
        <v>46886</v>
      </c>
      <c r="K465" s="12" t="s">
        <v>1120</v>
      </c>
      <c r="L465" s="12" t="n">
        <v>20</v>
      </c>
      <c r="M465" s="15" t="n">
        <f aca="false">E465*G465</f>
        <v>310300</v>
      </c>
      <c r="N465" s="15" t="n">
        <f aca="false">E465*H465</f>
        <v>362500</v>
      </c>
      <c r="O465" s="18" t="n">
        <f aca="false">IF(H465=0,"",(H465-G465)/H465)</f>
        <v>0.144</v>
      </c>
      <c r="P465" s="12" t="n">
        <f aca="false">IF(J465="","",J465-README!$C$4)</f>
        <v>564</v>
      </c>
      <c r="Q465" s="12" t="str">
        <f aca="false">IF(E465=0,"Out of stock",IF(E465&lt;=F465,"Low stock","OK"))</f>
        <v>OK</v>
      </c>
      <c r="R465" s="12" t="str">
        <f aca="false">IF(J465="","No expiry",IF(P465&lt;0,"Expired",IF(P465&lt;=30,"Expiring &lt;=30 days","OK")))</f>
        <v>OK</v>
      </c>
      <c r="S465" s="12"/>
    </row>
    <row r="466" customFormat="false" ht="15" hidden="false" customHeight="false" outlineLevel="0" collapsed="false">
      <c r="A466" s="12" t="s">
        <v>3427</v>
      </c>
      <c r="B466" s="12" t="s">
        <v>1332</v>
      </c>
      <c r="C466" s="12" t="s">
        <v>2289</v>
      </c>
      <c r="D466" s="12" t="s">
        <v>2290</v>
      </c>
      <c r="E466" s="12" t="n">
        <v>33</v>
      </c>
      <c r="F466" s="12" t="n">
        <v>11</v>
      </c>
      <c r="G466" s="15" t="n">
        <v>213800</v>
      </c>
      <c r="H466" s="15" t="n">
        <v>262500</v>
      </c>
      <c r="I466" s="12" t="s">
        <v>3428</v>
      </c>
      <c r="J466" s="17" t="n">
        <v>46969</v>
      </c>
      <c r="K466" s="12" t="s">
        <v>1120</v>
      </c>
      <c r="L466" s="12" t="n">
        <v>23</v>
      </c>
      <c r="M466" s="15" t="n">
        <f aca="false">E466*G466</f>
        <v>7055400</v>
      </c>
      <c r="N466" s="15" t="n">
        <f aca="false">E466*H466</f>
        <v>8662500</v>
      </c>
      <c r="O466" s="18" t="n">
        <f aca="false">IF(H466=0,"",(H466-G466)/H466)</f>
        <v>0.18552380952381</v>
      </c>
      <c r="P466" s="12" t="n">
        <f aca="false">IF(J466="","",J466-README!$C$4)</f>
        <v>647</v>
      </c>
      <c r="Q466" s="12" t="str">
        <f aca="false">IF(E466=0,"Out of stock",IF(E466&lt;=F466,"Low stock","OK"))</f>
        <v>OK</v>
      </c>
      <c r="R466" s="12" t="str">
        <f aca="false">IF(J466="","No expiry",IF(P466&lt;0,"Expired",IF(P466&lt;=30,"Expiring &lt;=30 days","OK")))</f>
        <v>OK</v>
      </c>
      <c r="S466" s="12"/>
    </row>
    <row r="467" customFormat="false" ht="15" hidden="false" customHeight="false" outlineLevel="0" collapsed="false">
      <c r="A467" s="12" t="s">
        <v>3429</v>
      </c>
      <c r="B467" s="12" t="s">
        <v>1332</v>
      </c>
      <c r="C467" s="12" t="s">
        <v>2302</v>
      </c>
      <c r="D467" s="12" t="s">
        <v>2303</v>
      </c>
      <c r="E467" s="12" t="n">
        <v>31</v>
      </c>
      <c r="F467" s="12" t="n">
        <v>8</v>
      </c>
      <c r="G467" s="15" t="n">
        <v>10700</v>
      </c>
      <c r="H467" s="15" t="n">
        <v>12500</v>
      </c>
      <c r="I467" s="12" t="s">
        <v>3430</v>
      </c>
      <c r="J467" s="17" t="n">
        <v>46589</v>
      </c>
      <c r="K467" s="12" t="s">
        <v>1120</v>
      </c>
      <c r="L467" s="12" t="n">
        <v>21</v>
      </c>
      <c r="M467" s="15" t="n">
        <f aca="false">E467*G467</f>
        <v>331700</v>
      </c>
      <c r="N467" s="15" t="n">
        <f aca="false">E467*H467</f>
        <v>387500</v>
      </c>
      <c r="O467" s="18" t="n">
        <f aca="false">IF(H467=0,"",(H467-G467)/H467)</f>
        <v>0.144</v>
      </c>
      <c r="P467" s="12" t="n">
        <f aca="false">IF(J467="","",J467-README!$C$4)</f>
        <v>267</v>
      </c>
      <c r="Q467" s="12" t="str">
        <f aca="false">IF(E467=0,"Out of stock",IF(E467&lt;=F467,"Low stock","OK"))</f>
        <v>OK</v>
      </c>
      <c r="R467" s="12" t="str">
        <f aca="false">IF(J467="","No expiry",IF(P467&lt;0,"Expired",IF(P467&lt;=30,"Expiring &lt;=30 days","OK")))</f>
        <v>OK</v>
      </c>
      <c r="S467" s="12"/>
    </row>
    <row r="468" customFormat="false" ht="15" hidden="false" customHeight="false" outlineLevel="0" collapsed="false">
      <c r="A468" s="12" t="s">
        <v>3431</v>
      </c>
      <c r="B468" s="12" t="s">
        <v>1332</v>
      </c>
      <c r="C468" s="12" t="s">
        <v>2298</v>
      </c>
      <c r="D468" s="12" t="s">
        <v>2300</v>
      </c>
      <c r="E468" s="12" t="n">
        <v>33</v>
      </c>
      <c r="F468" s="12" t="n">
        <v>8</v>
      </c>
      <c r="G468" s="15" t="n">
        <v>6500</v>
      </c>
      <c r="H468" s="15" t="n">
        <v>7400</v>
      </c>
      <c r="I468" s="12" t="s">
        <v>3432</v>
      </c>
      <c r="J468" s="17" t="n">
        <v>46770</v>
      </c>
      <c r="K468" s="12" t="s">
        <v>1120</v>
      </c>
      <c r="L468" s="12" t="n">
        <v>23</v>
      </c>
      <c r="M468" s="15" t="n">
        <f aca="false">E468*G468</f>
        <v>214500</v>
      </c>
      <c r="N468" s="15" t="n">
        <f aca="false">E468*H468</f>
        <v>244200</v>
      </c>
      <c r="O468" s="18" t="n">
        <f aca="false">IF(H468=0,"",(H468-G468)/H468)</f>
        <v>0.121621621621622</v>
      </c>
      <c r="P468" s="12" t="n">
        <f aca="false">IF(J468="","",J468-README!$C$4)</f>
        <v>448</v>
      </c>
      <c r="Q468" s="12" t="str">
        <f aca="false">IF(E468=0,"Out of stock",IF(E468&lt;=F468,"Low stock","OK"))</f>
        <v>OK</v>
      </c>
      <c r="R468" s="12" t="str">
        <f aca="false">IF(J468="","No expiry",IF(P468&lt;0,"Expired",IF(P468&lt;=30,"Expiring &lt;=30 days","OK")))</f>
        <v>OK</v>
      </c>
      <c r="S468" s="12"/>
    </row>
    <row r="469" customFormat="false" ht="15" hidden="false" customHeight="false" outlineLevel="0" collapsed="false">
      <c r="A469" s="12" t="s">
        <v>3433</v>
      </c>
      <c r="B469" s="12" t="s">
        <v>1332</v>
      </c>
      <c r="C469" s="12" t="s">
        <v>2305</v>
      </c>
      <c r="D469" s="12" t="s">
        <v>2306</v>
      </c>
      <c r="E469" s="12" t="n">
        <v>44</v>
      </c>
      <c r="F469" s="12" t="n">
        <v>28</v>
      </c>
      <c r="G469" s="15" t="n">
        <v>4300</v>
      </c>
      <c r="H469" s="15" t="n">
        <v>5200</v>
      </c>
      <c r="I469" s="12" t="s">
        <v>3434</v>
      </c>
      <c r="J469" s="17" t="n">
        <v>46511</v>
      </c>
      <c r="K469" s="12" t="s">
        <v>1111</v>
      </c>
      <c r="L469" s="12" t="n">
        <v>0</v>
      </c>
      <c r="M469" s="15" t="n">
        <f aca="false">E469*G469</f>
        <v>189200</v>
      </c>
      <c r="N469" s="15" t="n">
        <f aca="false">E469*H469</f>
        <v>228800</v>
      </c>
      <c r="O469" s="18" t="n">
        <f aca="false">IF(H469=0,"",(H469-G469)/H469)</f>
        <v>0.173076923076923</v>
      </c>
      <c r="P469" s="12" t="n">
        <f aca="false">IF(J469="","",J469-README!$C$4)</f>
        <v>189</v>
      </c>
      <c r="Q469" s="12" t="str">
        <f aca="false">IF(E469=0,"Out of stock",IF(E469&lt;=F469,"Low stock","OK"))</f>
        <v>OK</v>
      </c>
      <c r="R469" s="12" t="str">
        <f aca="false">IF(J469="","No expiry",IF(P469&lt;0,"Expired",IF(P469&lt;=30,"Expiring &lt;=30 days","OK")))</f>
        <v>OK</v>
      </c>
      <c r="S469" s="12"/>
    </row>
    <row r="470" customFormat="false" ht="15" hidden="false" customHeight="false" outlineLevel="0" collapsed="false">
      <c r="A470" s="12" t="s">
        <v>3435</v>
      </c>
      <c r="B470" s="12" t="s">
        <v>1332</v>
      </c>
      <c r="C470" s="12" t="s">
        <v>2311</v>
      </c>
      <c r="D470" s="12" t="s">
        <v>2312</v>
      </c>
      <c r="E470" s="12" t="n">
        <v>43</v>
      </c>
      <c r="F470" s="12" t="n">
        <v>8</v>
      </c>
      <c r="G470" s="15" t="n">
        <v>13000</v>
      </c>
      <c r="H470" s="15" t="n">
        <v>14500</v>
      </c>
      <c r="I470" s="12" t="s">
        <v>3436</v>
      </c>
      <c r="J470" s="17" t="n">
        <v>46783</v>
      </c>
      <c r="K470" s="12" t="s">
        <v>1120</v>
      </c>
      <c r="L470" s="12" t="n">
        <v>30</v>
      </c>
      <c r="M470" s="15" t="n">
        <f aca="false">E470*G470</f>
        <v>559000</v>
      </c>
      <c r="N470" s="15" t="n">
        <f aca="false">E470*H470</f>
        <v>623500</v>
      </c>
      <c r="O470" s="18" t="n">
        <f aca="false">IF(H470=0,"",(H470-G470)/H470)</f>
        <v>0.103448275862069</v>
      </c>
      <c r="P470" s="12" t="n">
        <f aca="false">IF(J470="","",J470-README!$C$4)</f>
        <v>461</v>
      </c>
      <c r="Q470" s="12" t="str">
        <f aca="false">IF(E470=0,"Out of stock",IF(E470&lt;=F470,"Low stock","OK"))</f>
        <v>OK</v>
      </c>
      <c r="R470" s="12" t="str">
        <f aca="false">IF(J470="","No expiry",IF(P470&lt;0,"Expired",IF(P470&lt;=30,"Expiring &lt;=30 days","OK")))</f>
        <v>OK</v>
      </c>
      <c r="S470" s="12"/>
    </row>
    <row r="471" customFormat="false" ht="15" hidden="false" customHeight="false" outlineLevel="0" collapsed="false">
      <c r="A471" s="12" t="s">
        <v>3437</v>
      </c>
      <c r="B471" s="12" t="s">
        <v>1332</v>
      </c>
      <c r="C471" s="12" t="s">
        <v>2317</v>
      </c>
      <c r="D471" s="12" t="s">
        <v>2318</v>
      </c>
      <c r="E471" s="12" t="n">
        <v>29</v>
      </c>
      <c r="F471" s="12" t="n">
        <v>8</v>
      </c>
      <c r="G471" s="15" t="n">
        <v>24700</v>
      </c>
      <c r="H471" s="15" t="n">
        <v>29500</v>
      </c>
      <c r="I471" s="12" t="s">
        <v>3438</v>
      </c>
      <c r="J471" s="17" t="n">
        <v>46891</v>
      </c>
      <c r="K471" s="12" t="s">
        <v>1120</v>
      </c>
      <c r="L471" s="12" t="n">
        <v>20</v>
      </c>
      <c r="M471" s="15" t="n">
        <f aca="false">E471*G471</f>
        <v>716300</v>
      </c>
      <c r="N471" s="15" t="n">
        <f aca="false">E471*H471</f>
        <v>855500</v>
      </c>
      <c r="O471" s="18" t="n">
        <f aca="false">IF(H471=0,"",(H471-G471)/H471)</f>
        <v>0.16271186440678</v>
      </c>
      <c r="P471" s="12" t="n">
        <f aca="false">IF(J471="","",J471-README!$C$4)</f>
        <v>569</v>
      </c>
      <c r="Q471" s="12" t="str">
        <f aca="false">IF(E471=0,"Out of stock",IF(E471&lt;=F471,"Low stock","OK"))</f>
        <v>OK</v>
      </c>
      <c r="R471" s="12" t="str">
        <f aca="false">IF(J471="","No expiry",IF(P471&lt;0,"Expired",IF(P471&lt;=30,"Expiring &lt;=30 days","OK")))</f>
        <v>OK</v>
      </c>
      <c r="S471" s="12"/>
    </row>
    <row r="472" customFormat="false" ht="15" hidden="false" customHeight="false" outlineLevel="0" collapsed="false">
      <c r="A472" s="12" t="s">
        <v>3439</v>
      </c>
      <c r="B472" s="12" t="s">
        <v>1332</v>
      </c>
      <c r="C472" s="12" t="s">
        <v>2314</v>
      </c>
      <c r="D472" s="12" t="s">
        <v>2315</v>
      </c>
      <c r="E472" s="12" t="n">
        <v>22</v>
      </c>
      <c r="F472" s="12" t="n">
        <v>8</v>
      </c>
      <c r="G472" s="15" t="n">
        <v>15100</v>
      </c>
      <c r="H472" s="15" t="n">
        <v>17000</v>
      </c>
      <c r="I472" s="12" t="s">
        <v>3440</v>
      </c>
      <c r="J472" s="17" t="n">
        <v>47054</v>
      </c>
      <c r="K472" s="12" t="s">
        <v>1120</v>
      </c>
      <c r="L472" s="12" t="n">
        <v>15</v>
      </c>
      <c r="M472" s="15" t="n">
        <f aca="false">E472*G472</f>
        <v>332200</v>
      </c>
      <c r="N472" s="15" t="n">
        <f aca="false">E472*H472</f>
        <v>374000</v>
      </c>
      <c r="O472" s="18" t="n">
        <f aca="false">IF(H472=0,"",(H472-G472)/H472)</f>
        <v>0.111764705882353</v>
      </c>
      <c r="P472" s="12" t="n">
        <f aca="false">IF(J472="","",J472-README!$C$4)</f>
        <v>732</v>
      </c>
      <c r="Q472" s="12" t="str">
        <f aca="false">IF(E472=0,"Out of stock",IF(E472&lt;=F472,"Low stock","OK"))</f>
        <v>OK</v>
      </c>
      <c r="R472" s="12" t="str">
        <f aca="false">IF(J472="","No expiry",IF(P472&lt;0,"Expired",IF(P472&lt;=30,"Expiring &lt;=30 days","OK")))</f>
        <v>OK</v>
      </c>
      <c r="S472" s="12"/>
    </row>
    <row r="473" customFormat="false" ht="15" hidden="false" customHeight="false" outlineLevel="0" collapsed="false">
      <c r="A473" s="12" t="s">
        <v>3441</v>
      </c>
      <c r="B473" s="12" t="s">
        <v>1332</v>
      </c>
      <c r="C473" s="12" t="s">
        <v>2320</v>
      </c>
      <c r="D473" s="12" t="s">
        <v>2321</v>
      </c>
      <c r="E473" s="12" t="n">
        <v>153</v>
      </c>
      <c r="F473" s="12" t="n">
        <v>28</v>
      </c>
      <c r="G473" s="15" t="n">
        <v>3100</v>
      </c>
      <c r="H473" s="15" t="n">
        <v>3700</v>
      </c>
      <c r="I473" s="12" t="s">
        <v>3442</v>
      </c>
      <c r="J473" s="17" t="n">
        <v>46505</v>
      </c>
      <c r="K473" s="12" t="s">
        <v>1120</v>
      </c>
      <c r="L473" s="12" t="n">
        <v>107</v>
      </c>
      <c r="M473" s="15" t="n">
        <f aca="false">E473*G473</f>
        <v>474300</v>
      </c>
      <c r="N473" s="15" t="n">
        <f aca="false">E473*H473</f>
        <v>566100</v>
      </c>
      <c r="O473" s="18" t="n">
        <f aca="false">IF(H473=0,"",(H473-G473)/H473)</f>
        <v>0.162162162162162</v>
      </c>
      <c r="P473" s="12" t="n">
        <f aca="false">IF(J473="","",J473-README!$C$4)</f>
        <v>183</v>
      </c>
      <c r="Q473" s="12" t="str">
        <f aca="false">IF(E473=0,"Out of stock",IF(E473&lt;=F473,"Low stock","OK"))</f>
        <v>OK</v>
      </c>
      <c r="R473" s="12" t="str">
        <f aca="false">IF(J473="","No expiry",IF(P473&lt;0,"Expired",IF(P473&lt;=30,"Expiring &lt;=30 days","OK")))</f>
        <v>OK</v>
      </c>
      <c r="S473" s="12"/>
    </row>
    <row r="474" customFormat="false" ht="15" hidden="false" customHeight="false" outlineLevel="0" collapsed="false">
      <c r="A474" s="12" t="s">
        <v>3443</v>
      </c>
      <c r="B474" s="12" t="s">
        <v>1332</v>
      </c>
      <c r="C474" s="12" t="s">
        <v>2323</v>
      </c>
      <c r="D474" s="12" t="s">
        <v>2324</v>
      </c>
      <c r="E474" s="12" t="n">
        <v>16</v>
      </c>
      <c r="F474" s="12" t="n">
        <v>8</v>
      </c>
      <c r="G474" s="15" t="n">
        <v>11700</v>
      </c>
      <c r="H474" s="15" t="n">
        <v>14500</v>
      </c>
      <c r="I474" s="12" t="s">
        <v>3444</v>
      </c>
      <c r="J474" s="17" t="n">
        <v>47002</v>
      </c>
      <c r="K474" s="12" t="s">
        <v>1120</v>
      </c>
      <c r="L474" s="12" t="n">
        <v>11</v>
      </c>
      <c r="M474" s="15" t="n">
        <f aca="false">E474*G474</f>
        <v>187200</v>
      </c>
      <c r="N474" s="15" t="n">
        <f aca="false">E474*H474</f>
        <v>232000</v>
      </c>
      <c r="O474" s="18" t="n">
        <f aca="false">IF(H474=0,"",(H474-G474)/H474)</f>
        <v>0.193103448275862</v>
      </c>
      <c r="P474" s="12" t="n">
        <f aca="false">IF(J474="","",J474-README!$C$4)</f>
        <v>680</v>
      </c>
      <c r="Q474" s="12" t="str">
        <f aca="false">IF(E474=0,"Out of stock",IF(E474&lt;=F474,"Low stock","OK"))</f>
        <v>OK</v>
      </c>
      <c r="R474" s="12" t="str">
        <f aca="false">IF(J474="","No expiry",IF(P474&lt;0,"Expired",IF(P474&lt;=30,"Expiring &lt;=30 days","OK")))</f>
        <v>OK</v>
      </c>
      <c r="S474" s="12"/>
    </row>
    <row r="475" customFormat="false" ht="15" hidden="false" customHeight="false" outlineLevel="0" collapsed="false">
      <c r="A475" s="12" t="s">
        <v>3445</v>
      </c>
      <c r="B475" s="12" t="s">
        <v>1332</v>
      </c>
      <c r="C475" s="12" t="s">
        <v>2329</v>
      </c>
      <c r="D475" s="12" t="s">
        <v>2330</v>
      </c>
      <c r="E475" s="12" t="n">
        <v>34</v>
      </c>
      <c r="F475" s="12" t="n">
        <v>8</v>
      </c>
      <c r="G475" s="15" t="n">
        <v>11600</v>
      </c>
      <c r="H475" s="15" t="n">
        <v>14500</v>
      </c>
      <c r="I475" s="12" t="s">
        <v>3446</v>
      </c>
      <c r="J475" s="17" t="n">
        <v>46665</v>
      </c>
      <c r="K475" s="12" t="s">
        <v>1120</v>
      </c>
      <c r="L475" s="12" t="n">
        <v>23</v>
      </c>
      <c r="M475" s="15" t="n">
        <f aca="false">E475*G475</f>
        <v>394400</v>
      </c>
      <c r="N475" s="15" t="n">
        <f aca="false">E475*H475</f>
        <v>493000</v>
      </c>
      <c r="O475" s="18" t="n">
        <f aca="false">IF(H475=0,"",(H475-G475)/H475)</f>
        <v>0.2</v>
      </c>
      <c r="P475" s="12" t="n">
        <f aca="false">IF(J475="","",J475-README!$C$4)</f>
        <v>343</v>
      </c>
      <c r="Q475" s="12" t="str">
        <f aca="false">IF(E475=0,"Out of stock",IF(E475&lt;=F475,"Low stock","OK"))</f>
        <v>OK</v>
      </c>
      <c r="R475" s="12" t="str">
        <f aca="false">IF(J475="","No expiry",IF(P475&lt;0,"Expired",IF(P475&lt;=30,"Expiring &lt;=30 days","OK")))</f>
        <v>OK</v>
      </c>
      <c r="S475" s="12"/>
    </row>
    <row r="476" customFormat="false" ht="15" hidden="false" customHeight="false" outlineLevel="0" collapsed="false">
      <c r="A476" s="12" t="s">
        <v>3447</v>
      </c>
      <c r="B476" s="12" t="s">
        <v>1332</v>
      </c>
      <c r="C476" s="12" t="s">
        <v>2326</v>
      </c>
      <c r="D476" s="12" t="s">
        <v>2327</v>
      </c>
      <c r="E476" s="12" t="n">
        <v>17</v>
      </c>
      <c r="F476" s="12" t="n">
        <v>8</v>
      </c>
      <c r="G476" s="15" t="n">
        <v>7100</v>
      </c>
      <c r="H476" s="15" t="n">
        <v>8400</v>
      </c>
      <c r="I476" s="12" t="s">
        <v>3448</v>
      </c>
      <c r="J476" s="17" t="n">
        <v>47096</v>
      </c>
      <c r="K476" s="12" t="s">
        <v>1120</v>
      </c>
      <c r="L476" s="12" t="n">
        <v>11</v>
      </c>
      <c r="M476" s="15" t="n">
        <f aca="false">E476*G476</f>
        <v>120700</v>
      </c>
      <c r="N476" s="15" t="n">
        <f aca="false">E476*H476</f>
        <v>142800</v>
      </c>
      <c r="O476" s="18" t="n">
        <f aca="false">IF(H476=0,"",(H476-G476)/H476)</f>
        <v>0.154761904761905</v>
      </c>
      <c r="P476" s="12" t="n">
        <f aca="false">IF(J476="","",J476-README!$C$4)</f>
        <v>774</v>
      </c>
      <c r="Q476" s="12" t="str">
        <f aca="false">IF(E476=0,"Out of stock",IF(E476&lt;=F476,"Low stock","OK"))</f>
        <v>OK</v>
      </c>
      <c r="R476" s="12" t="str">
        <f aca="false">IF(J476="","No expiry",IF(P476&lt;0,"Expired",IF(P476&lt;=30,"Expiring &lt;=30 days","OK")))</f>
        <v>OK</v>
      </c>
      <c r="S476" s="12"/>
    </row>
    <row r="477" customFormat="false" ht="15" hidden="false" customHeight="false" outlineLevel="0" collapsed="false">
      <c r="A477" s="12" t="s">
        <v>3449</v>
      </c>
      <c r="B477" s="12" t="s">
        <v>1332</v>
      </c>
      <c r="C477" s="12" t="s">
        <v>2335</v>
      </c>
      <c r="D477" s="12" t="s">
        <v>2336</v>
      </c>
      <c r="E477" s="12" t="n">
        <v>9</v>
      </c>
      <c r="F477" s="12" t="n">
        <v>3</v>
      </c>
      <c r="G477" s="15" t="n">
        <v>35500</v>
      </c>
      <c r="H477" s="15" t="n">
        <v>40000</v>
      </c>
      <c r="I477" s="12" t="s">
        <v>3450</v>
      </c>
      <c r="J477" s="17" t="n">
        <v>46682</v>
      </c>
      <c r="K477" s="12" t="s">
        <v>1120</v>
      </c>
      <c r="L477" s="12" t="n">
        <v>6</v>
      </c>
      <c r="M477" s="15" t="n">
        <f aca="false">E477*G477</f>
        <v>319500</v>
      </c>
      <c r="N477" s="15" t="n">
        <f aca="false">E477*H477</f>
        <v>360000</v>
      </c>
      <c r="O477" s="18" t="n">
        <f aca="false">IF(H477=0,"",(H477-G477)/H477)</f>
        <v>0.1125</v>
      </c>
      <c r="P477" s="12" t="n">
        <f aca="false">IF(J477="","",J477-README!$C$4)</f>
        <v>360</v>
      </c>
      <c r="Q477" s="12" t="str">
        <f aca="false">IF(E477=0,"Out of stock",IF(E477&lt;=F477,"Low stock","OK"))</f>
        <v>OK</v>
      </c>
      <c r="R477" s="12" t="str">
        <f aca="false">IF(J477="","No expiry",IF(P477&lt;0,"Expired",IF(P477&lt;=30,"Expiring &lt;=30 days","OK")))</f>
        <v>OK</v>
      </c>
      <c r="S477" s="12"/>
    </row>
    <row r="478" customFormat="false" ht="15" hidden="false" customHeight="false" outlineLevel="0" collapsed="false">
      <c r="A478" s="12" t="s">
        <v>3451</v>
      </c>
      <c r="B478" s="12" t="s">
        <v>1332</v>
      </c>
      <c r="C478" s="12" t="s">
        <v>2338</v>
      </c>
      <c r="D478" s="12" t="s">
        <v>2339</v>
      </c>
      <c r="E478" s="12" t="n">
        <v>60</v>
      </c>
      <c r="F478" s="12" t="n">
        <v>8</v>
      </c>
      <c r="G478" s="15" t="n">
        <v>10700</v>
      </c>
      <c r="H478" s="15" t="n">
        <v>12500</v>
      </c>
      <c r="I478" s="12" t="s">
        <v>3452</v>
      </c>
      <c r="J478" s="17" t="n">
        <v>46837</v>
      </c>
      <c r="K478" s="12" t="s">
        <v>1120</v>
      </c>
      <c r="L478" s="12" t="n">
        <v>42</v>
      </c>
      <c r="M478" s="15" t="n">
        <f aca="false">E478*G478</f>
        <v>642000</v>
      </c>
      <c r="N478" s="15" t="n">
        <f aca="false">E478*H478</f>
        <v>750000</v>
      </c>
      <c r="O478" s="18" t="n">
        <f aca="false">IF(H478=0,"",(H478-G478)/H478)</f>
        <v>0.144</v>
      </c>
      <c r="P478" s="12" t="n">
        <f aca="false">IF(J478="","",J478-README!$C$4)</f>
        <v>515</v>
      </c>
      <c r="Q478" s="12" t="str">
        <f aca="false">IF(E478=0,"Out of stock",IF(E478&lt;=F478,"Low stock","OK"))</f>
        <v>OK</v>
      </c>
      <c r="R478" s="12" t="str">
        <f aca="false">IF(J478="","No expiry",IF(P478&lt;0,"Expired",IF(P478&lt;=30,"Expiring &lt;=30 days","OK")))</f>
        <v>OK</v>
      </c>
      <c r="S478" s="12"/>
    </row>
    <row r="479" customFormat="false" ht="15" hidden="false" customHeight="false" outlineLevel="0" collapsed="false">
      <c r="A479" s="12" t="s">
        <v>3453</v>
      </c>
      <c r="B479" s="12" t="s">
        <v>1332</v>
      </c>
      <c r="C479" s="12" t="s">
        <v>2341</v>
      </c>
      <c r="D479" s="12" t="s">
        <v>2342</v>
      </c>
      <c r="E479" s="12" t="n">
        <v>28</v>
      </c>
      <c r="F479" s="12" t="n">
        <v>8</v>
      </c>
      <c r="G479" s="15" t="n">
        <v>78300</v>
      </c>
      <c r="H479" s="15" t="n">
        <v>89000</v>
      </c>
      <c r="I479" s="12" t="s">
        <v>3454</v>
      </c>
      <c r="J479" s="17" t="n">
        <v>47113</v>
      </c>
      <c r="K479" s="12" t="s">
        <v>1120</v>
      </c>
      <c r="L479" s="12" t="n">
        <v>19</v>
      </c>
      <c r="M479" s="15" t="n">
        <f aca="false">E479*G479</f>
        <v>2192400</v>
      </c>
      <c r="N479" s="15" t="n">
        <f aca="false">E479*H479</f>
        <v>2492000</v>
      </c>
      <c r="O479" s="18" t="n">
        <f aca="false">IF(H479=0,"",(H479-G479)/H479)</f>
        <v>0.120224719101124</v>
      </c>
      <c r="P479" s="12" t="n">
        <f aca="false">IF(J479="","",J479-README!$C$4)</f>
        <v>791</v>
      </c>
      <c r="Q479" s="12" t="str">
        <f aca="false">IF(E479=0,"Out of stock",IF(E479&lt;=F479,"Low stock","OK"))</f>
        <v>OK</v>
      </c>
      <c r="R479" s="12" t="str">
        <f aca="false">IF(J479="","No expiry",IF(P479&lt;0,"Expired",IF(P479&lt;=30,"Expiring &lt;=30 days","OK")))</f>
        <v>OK</v>
      </c>
      <c r="S479" s="12"/>
    </row>
    <row r="480" customFormat="false" ht="15" hidden="false" customHeight="false" outlineLevel="0" collapsed="false">
      <c r="A480" s="12" t="s">
        <v>3455</v>
      </c>
      <c r="B480" s="12" t="s">
        <v>1332</v>
      </c>
      <c r="C480" s="12" t="s">
        <v>2348</v>
      </c>
      <c r="D480" s="12" t="s">
        <v>2349</v>
      </c>
      <c r="E480" s="12" t="n">
        <v>2</v>
      </c>
      <c r="F480" s="12" t="n">
        <v>6</v>
      </c>
      <c r="G480" s="15" t="n">
        <v>28100</v>
      </c>
      <c r="H480" s="15" t="n">
        <v>31500</v>
      </c>
      <c r="I480" s="12" t="s">
        <v>3456</v>
      </c>
      <c r="J480" s="17" t="n">
        <v>46695</v>
      </c>
      <c r="K480" s="12" t="s">
        <v>1120</v>
      </c>
      <c r="L480" s="12" t="n">
        <v>1</v>
      </c>
      <c r="M480" s="15" t="n">
        <f aca="false">E480*G480</f>
        <v>56200</v>
      </c>
      <c r="N480" s="15" t="n">
        <f aca="false">E480*H480</f>
        <v>63000</v>
      </c>
      <c r="O480" s="18" t="n">
        <f aca="false">IF(H480=0,"",(H480-G480)/H480)</f>
        <v>0.107936507936508</v>
      </c>
      <c r="P480" s="12" t="n">
        <f aca="false">IF(J480="","",J480-README!$C$4)</f>
        <v>373</v>
      </c>
      <c r="Q480" s="12" t="str">
        <f aca="false">IF(E480=0,"Out of stock",IF(E480&lt;=F480,"Low stock","OK"))</f>
        <v>Low stock</v>
      </c>
      <c r="R480" s="12" t="str">
        <f aca="false">IF(J480="","No expiry",IF(P480&lt;0,"Expired",IF(P480&lt;=30,"Expiring &lt;=30 days","OK")))</f>
        <v>OK</v>
      </c>
      <c r="S480" s="19" t="s">
        <v>2606</v>
      </c>
    </row>
    <row r="481" customFormat="false" ht="15" hidden="false" customHeight="false" outlineLevel="0" collapsed="false">
      <c r="A481" s="12" t="s">
        <v>3457</v>
      </c>
      <c r="B481" s="12" t="s">
        <v>1332</v>
      </c>
      <c r="C481" s="12" t="s">
        <v>2344</v>
      </c>
      <c r="D481" s="12" t="s">
        <v>2346</v>
      </c>
      <c r="E481" s="12" t="n">
        <v>39</v>
      </c>
      <c r="F481" s="12" t="n">
        <v>8</v>
      </c>
      <c r="G481" s="15" t="n">
        <v>8400</v>
      </c>
      <c r="H481" s="15" t="n">
        <v>9400</v>
      </c>
      <c r="I481" s="12" t="s">
        <v>3458</v>
      </c>
      <c r="J481" s="17" t="n">
        <v>46865</v>
      </c>
      <c r="K481" s="12" t="s">
        <v>1120</v>
      </c>
      <c r="L481" s="12" t="n">
        <v>27</v>
      </c>
      <c r="M481" s="15" t="n">
        <f aca="false">E481*G481</f>
        <v>327600</v>
      </c>
      <c r="N481" s="15" t="n">
        <f aca="false">E481*H481</f>
        <v>366600</v>
      </c>
      <c r="O481" s="18" t="n">
        <f aca="false">IF(H481=0,"",(H481-G481)/H481)</f>
        <v>0.106382978723404</v>
      </c>
      <c r="P481" s="12" t="n">
        <f aca="false">IF(J481="","",J481-README!$C$4)</f>
        <v>543</v>
      </c>
      <c r="Q481" s="12" t="str">
        <f aca="false">IF(E481=0,"Out of stock",IF(E481&lt;=F481,"Low stock","OK"))</f>
        <v>OK</v>
      </c>
      <c r="R481" s="12" t="str">
        <f aca="false">IF(J481="","No expiry",IF(P481&lt;0,"Expired",IF(P481&lt;=30,"Expiring &lt;=30 days","OK")))</f>
        <v>OK</v>
      </c>
      <c r="S481" s="12"/>
    </row>
    <row r="482" customFormat="false" ht="15" hidden="false" customHeight="false" outlineLevel="0" collapsed="false">
      <c r="A482" s="12" t="s">
        <v>3459</v>
      </c>
      <c r="B482" s="12" t="s">
        <v>1332</v>
      </c>
      <c r="C482" s="12" t="s">
        <v>2351</v>
      </c>
      <c r="D482" s="12" t="s">
        <v>2352</v>
      </c>
      <c r="E482" s="12" t="n">
        <v>40</v>
      </c>
      <c r="F482" s="12" t="n">
        <v>8</v>
      </c>
      <c r="G482" s="15" t="n">
        <v>20600</v>
      </c>
      <c r="H482" s="15" t="n">
        <v>23000</v>
      </c>
      <c r="I482" s="12" t="s">
        <v>3460</v>
      </c>
      <c r="J482" s="17" t="n">
        <v>46493</v>
      </c>
      <c r="K482" s="12" t="s">
        <v>1120</v>
      </c>
      <c r="L482" s="12" t="n">
        <v>28</v>
      </c>
      <c r="M482" s="15" t="n">
        <f aca="false">E482*G482</f>
        <v>824000</v>
      </c>
      <c r="N482" s="15" t="n">
        <f aca="false">E482*H482</f>
        <v>920000</v>
      </c>
      <c r="O482" s="18" t="n">
        <f aca="false">IF(H482=0,"",(H482-G482)/H482)</f>
        <v>0.104347826086957</v>
      </c>
      <c r="P482" s="12" t="n">
        <f aca="false">IF(J482="","",J482-README!$C$4)</f>
        <v>171</v>
      </c>
      <c r="Q482" s="12" t="str">
        <f aca="false">IF(E482=0,"Out of stock",IF(E482&lt;=F482,"Low stock","OK"))</f>
        <v>OK</v>
      </c>
      <c r="R482" s="12" t="str">
        <f aca="false">IF(J482="","No expiry",IF(P482&lt;0,"Expired",IF(P482&lt;=30,"Expiring &lt;=30 days","OK")))</f>
        <v>OK</v>
      </c>
      <c r="S482" s="12"/>
    </row>
    <row r="483" customFormat="false" ht="15" hidden="false" customHeight="false" outlineLevel="0" collapsed="false">
      <c r="A483" s="12" t="s">
        <v>3461</v>
      </c>
      <c r="B483" s="12" t="s">
        <v>1332</v>
      </c>
      <c r="C483" s="12" t="s">
        <v>2354</v>
      </c>
      <c r="D483" s="12" t="s">
        <v>2355</v>
      </c>
      <c r="E483" s="12" t="n">
        <v>39</v>
      </c>
      <c r="F483" s="12" t="n">
        <v>8</v>
      </c>
      <c r="G483" s="15" t="n">
        <v>6400</v>
      </c>
      <c r="H483" s="15" t="n">
        <v>7400</v>
      </c>
      <c r="I483" s="12" t="s">
        <v>3462</v>
      </c>
      <c r="J483" s="17" t="n">
        <v>46606</v>
      </c>
      <c r="K483" s="12" t="s">
        <v>1120</v>
      </c>
      <c r="L483" s="12" t="n">
        <v>27</v>
      </c>
      <c r="M483" s="15" t="n">
        <f aca="false">E483*G483</f>
        <v>249600</v>
      </c>
      <c r="N483" s="15" t="n">
        <f aca="false">E483*H483</f>
        <v>288600</v>
      </c>
      <c r="O483" s="18" t="n">
        <f aca="false">IF(H483=0,"",(H483-G483)/H483)</f>
        <v>0.135135135135135</v>
      </c>
      <c r="P483" s="12" t="n">
        <f aca="false">IF(J483="","",J483-README!$C$4)</f>
        <v>284</v>
      </c>
      <c r="Q483" s="12" t="str">
        <f aca="false">IF(E483=0,"Out of stock",IF(E483&lt;=F483,"Low stock","OK"))</f>
        <v>OK</v>
      </c>
      <c r="R483" s="12" t="str">
        <f aca="false">IF(J483="","No expiry",IF(P483&lt;0,"Expired",IF(P483&lt;=30,"Expiring &lt;=30 days","OK")))</f>
        <v>OK</v>
      </c>
      <c r="S483" s="12"/>
    </row>
    <row r="484" customFormat="false" ht="15" hidden="false" customHeight="false" outlineLevel="0" collapsed="false">
      <c r="A484" s="12" t="s">
        <v>3463</v>
      </c>
      <c r="B484" s="12" t="s">
        <v>1332</v>
      </c>
      <c r="C484" s="12" t="s">
        <v>2357</v>
      </c>
      <c r="D484" s="12" t="s">
        <v>2359</v>
      </c>
      <c r="E484" s="12" t="n">
        <v>16</v>
      </c>
      <c r="F484" s="12" t="n">
        <v>8</v>
      </c>
      <c r="G484" s="15" t="n">
        <v>10900</v>
      </c>
      <c r="H484" s="15" t="n">
        <v>13500</v>
      </c>
      <c r="I484" s="12" t="s">
        <v>3464</v>
      </c>
      <c r="J484" s="17" t="n">
        <v>46661</v>
      </c>
      <c r="K484" s="12" t="s">
        <v>1111</v>
      </c>
      <c r="L484" s="12" t="n">
        <v>0</v>
      </c>
      <c r="M484" s="15" t="n">
        <f aca="false">E484*G484</f>
        <v>174400</v>
      </c>
      <c r="N484" s="15" t="n">
        <f aca="false">E484*H484</f>
        <v>216000</v>
      </c>
      <c r="O484" s="18" t="n">
        <f aca="false">IF(H484=0,"",(H484-G484)/H484)</f>
        <v>0.192592592592593</v>
      </c>
      <c r="P484" s="12" t="n">
        <f aca="false">IF(J484="","",J484-README!$C$4)</f>
        <v>339</v>
      </c>
      <c r="Q484" s="12" t="str">
        <f aca="false">IF(E484=0,"Out of stock",IF(E484&lt;=F484,"Low stock","OK"))</f>
        <v>OK</v>
      </c>
      <c r="R484" s="12" t="str">
        <f aca="false">IF(J484="","No expiry",IF(P484&lt;0,"Expired",IF(P484&lt;=30,"Expiring &lt;=30 days","OK")))</f>
        <v>OK</v>
      </c>
      <c r="S484" s="12"/>
    </row>
    <row r="485" customFormat="false" ht="15" hidden="false" customHeight="false" outlineLevel="0" collapsed="false">
      <c r="A485" s="12" t="s">
        <v>3465</v>
      </c>
      <c r="B485" s="12" t="s">
        <v>1332</v>
      </c>
      <c r="C485" s="12" t="s">
        <v>2361</v>
      </c>
      <c r="D485" s="12" t="s">
        <v>2363</v>
      </c>
      <c r="E485" s="12" t="n">
        <v>52</v>
      </c>
      <c r="F485" s="12" t="n">
        <v>8</v>
      </c>
      <c r="G485" s="15" t="n">
        <v>13800</v>
      </c>
      <c r="H485" s="15" t="n">
        <v>16000</v>
      </c>
      <c r="I485" s="12" t="s">
        <v>3466</v>
      </c>
      <c r="J485" s="17" t="n">
        <v>46674</v>
      </c>
      <c r="K485" s="12" t="s">
        <v>1120</v>
      </c>
      <c r="L485" s="12" t="n">
        <v>36</v>
      </c>
      <c r="M485" s="15" t="n">
        <f aca="false">E485*G485</f>
        <v>717600</v>
      </c>
      <c r="N485" s="15" t="n">
        <f aca="false">E485*H485</f>
        <v>832000</v>
      </c>
      <c r="O485" s="18" t="n">
        <f aca="false">IF(H485=0,"",(H485-G485)/H485)</f>
        <v>0.1375</v>
      </c>
      <c r="P485" s="12" t="n">
        <f aca="false">IF(J485="","",J485-README!$C$4)</f>
        <v>352</v>
      </c>
      <c r="Q485" s="12" t="str">
        <f aca="false">IF(E485=0,"Out of stock",IF(E485&lt;=F485,"Low stock","OK"))</f>
        <v>OK</v>
      </c>
      <c r="R485" s="12" t="str">
        <f aca="false">IF(J485="","No expiry",IF(P485&lt;0,"Expired",IF(P485&lt;=30,"Expiring &lt;=30 days","OK")))</f>
        <v>OK</v>
      </c>
      <c r="S485" s="12"/>
    </row>
    <row r="486" customFormat="false" ht="15" hidden="false" customHeight="false" outlineLevel="0" collapsed="false">
      <c r="A486" s="12" t="s">
        <v>3467</v>
      </c>
      <c r="B486" s="12" t="s">
        <v>1332</v>
      </c>
      <c r="C486" s="12" t="s">
        <v>2373</v>
      </c>
      <c r="D486" s="12" t="s">
        <v>2375</v>
      </c>
      <c r="E486" s="12" t="n">
        <v>28</v>
      </c>
      <c r="F486" s="12" t="n">
        <v>6</v>
      </c>
      <c r="G486" s="15" t="n">
        <v>19600</v>
      </c>
      <c r="H486" s="15" t="n">
        <v>23000</v>
      </c>
      <c r="I486" s="12" t="s">
        <v>3468</v>
      </c>
      <c r="J486" s="17" t="n">
        <v>46343</v>
      </c>
      <c r="K486" s="12" t="s">
        <v>1120</v>
      </c>
      <c r="L486" s="12" t="n">
        <v>19</v>
      </c>
      <c r="M486" s="15" t="n">
        <f aca="false">E486*G486</f>
        <v>548800</v>
      </c>
      <c r="N486" s="15" t="n">
        <f aca="false">E486*H486</f>
        <v>644000</v>
      </c>
      <c r="O486" s="18" t="n">
        <f aca="false">IF(H486=0,"",(H486-G486)/H486)</f>
        <v>0.147826086956522</v>
      </c>
      <c r="P486" s="12" t="n">
        <f aca="false">IF(J486="","",J486-README!$C$4)</f>
        <v>21</v>
      </c>
      <c r="Q486" s="12" t="str">
        <f aca="false">IF(E486=0,"Out of stock",IF(E486&lt;=F486,"Low stock","OK"))</f>
        <v>OK</v>
      </c>
      <c r="R486" s="12" t="str">
        <f aca="false">IF(J486="","No expiry",IF(P486&lt;0,"Expired",IF(P486&lt;=30,"Expiring &lt;=30 days","OK")))</f>
        <v>Expiring &lt;=30 days</v>
      </c>
      <c r="S486" s="19" t="s">
        <v>2641</v>
      </c>
    </row>
    <row r="487" customFormat="false" ht="15" hidden="false" customHeight="false" outlineLevel="0" collapsed="false">
      <c r="A487" s="12" t="s">
        <v>3469</v>
      </c>
      <c r="B487" s="12" t="s">
        <v>1332</v>
      </c>
      <c r="C487" s="12" t="s">
        <v>2365</v>
      </c>
      <c r="D487" s="12" t="s">
        <v>2367</v>
      </c>
      <c r="E487" s="12" t="n">
        <v>18</v>
      </c>
      <c r="F487" s="12" t="n">
        <v>6</v>
      </c>
      <c r="G487" s="15" t="n">
        <v>3600</v>
      </c>
      <c r="H487" s="15" t="n">
        <v>4200</v>
      </c>
      <c r="I487" s="12" t="s">
        <v>3470</v>
      </c>
      <c r="J487" s="17" t="n">
        <v>46480</v>
      </c>
      <c r="K487" s="12" t="s">
        <v>1120</v>
      </c>
      <c r="L487" s="12" t="n">
        <v>12</v>
      </c>
      <c r="M487" s="15" t="n">
        <f aca="false">E487*G487</f>
        <v>64800</v>
      </c>
      <c r="N487" s="15" t="n">
        <f aca="false">E487*H487</f>
        <v>75600</v>
      </c>
      <c r="O487" s="18" t="n">
        <f aca="false">IF(H487=0,"",(H487-G487)/H487)</f>
        <v>0.142857142857143</v>
      </c>
      <c r="P487" s="12" t="n">
        <f aca="false">IF(J487="","",J487-README!$C$4)</f>
        <v>158</v>
      </c>
      <c r="Q487" s="12" t="str">
        <f aca="false">IF(E487=0,"Out of stock",IF(E487&lt;=F487,"Low stock","OK"))</f>
        <v>OK</v>
      </c>
      <c r="R487" s="12" t="str">
        <f aca="false">IF(J487="","No expiry",IF(P487&lt;0,"Expired",IF(P487&lt;=30,"Expiring &lt;=30 days","OK")))</f>
        <v>OK</v>
      </c>
      <c r="S487" s="12"/>
    </row>
    <row r="488" customFormat="false" ht="15" hidden="false" customHeight="false" outlineLevel="0" collapsed="false">
      <c r="A488" s="12" t="s">
        <v>3471</v>
      </c>
      <c r="B488" s="12" t="s">
        <v>1332</v>
      </c>
      <c r="C488" s="12" t="s">
        <v>2377</v>
      </c>
      <c r="D488" s="12" t="s">
        <v>2378</v>
      </c>
      <c r="E488" s="12" t="n">
        <v>27</v>
      </c>
      <c r="F488" s="12" t="n">
        <v>6</v>
      </c>
      <c r="G488" s="15" t="n">
        <v>2800</v>
      </c>
      <c r="H488" s="15" t="n">
        <v>3200</v>
      </c>
      <c r="I488" s="12" t="s">
        <v>3472</v>
      </c>
      <c r="J488" s="17" t="n">
        <v>46508</v>
      </c>
      <c r="K488" s="12" t="s">
        <v>1120</v>
      </c>
      <c r="L488" s="12" t="n">
        <v>18</v>
      </c>
      <c r="M488" s="15" t="n">
        <f aca="false">E488*G488</f>
        <v>75600</v>
      </c>
      <c r="N488" s="15" t="n">
        <f aca="false">E488*H488</f>
        <v>86400</v>
      </c>
      <c r="O488" s="18" t="n">
        <f aca="false">IF(H488=0,"",(H488-G488)/H488)</f>
        <v>0.125</v>
      </c>
      <c r="P488" s="12" t="n">
        <f aca="false">IF(J488="","",J488-README!$C$4)</f>
        <v>186</v>
      </c>
      <c r="Q488" s="12" t="str">
        <f aca="false">IF(E488=0,"Out of stock",IF(E488&lt;=F488,"Low stock","OK"))</f>
        <v>OK</v>
      </c>
      <c r="R488" s="12" t="str">
        <f aca="false">IF(J488="","No expiry",IF(P488&lt;0,"Expired",IF(P488&lt;=30,"Expiring &lt;=30 days","OK")))</f>
        <v>OK</v>
      </c>
      <c r="S488" s="12"/>
    </row>
    <row r="489" customFormat="false" ht="15" hidden="false" customHeight="false" outlineLevel="0" collapsed="false">
      <c r="A489" s="12" t="s">
        <v>3473</v>
      </c>
      <c r="B489" s="12" t="s">
        <v>1332</v>
      </c>
      <c r="C489" s="12" t="s">
        <v>2380</v>
      </c>
      <c r="D489" s="12" t="s">
        <v>2382</v>
      </c>
      <c r="E489" s="12" t="n">
        <v>36</v>
      </c>
      <c r="F489" s="12" t="n">
        <v>6</v>
      </c>
      <c r="G489" s="15" t="n">
        <v>4600</v>
      </c>
      <c r="H489" s="15" t="n">
        <v>5200</v>
      </c>
      <c r="I489" s="12" t="s">
        <v>3474</v>
      </c>
      <c r="J489" s="17" t="n">
        <v>46527</v>
      </c>
      <c r="K489" s="12" t="s">
        <v>1120</v>
      </c>
      <c r="L489" s="12" t="n">
        <v>25</v>
      </c>
      <c r="M489" s="15" t="n">
        <f aca="false">E489*G489</f>
        <v>165600</v>
      </c>
      <c r="N489" s="15" t="n">
        <f aca="false">E489*H489</f>
        <v>187200</v>
      </c>
      <c r="O489" s="18" t="n">
        <f aca="false">IF(H489=0,"",(H489-G489)/H489)</f>
        <v>0.115384615384615</v>
      </c>
      <c r="P489" s="12" t="n">
        <f aca="false">IF(J489="","",J489-README!$C$4)</f>
        <v>205</v>
      </c>
      <c r="Q489" s="12" t="str">
        <f aca="false">IF(E489=0,"Out of stock",IF(E489&lt;=F489,"Low stock","OK"))</f>
        <v>OK</v>
      </c>
      <c r="R489" s="12" t="str">
        <f aca="false">IF(J489="","No expiry",IF(P489&lt;0,"Expired",IF(P489&lt;=30,"Expiring &lt;=30 days","OK")))</f>
        <v>OK</v>
      </c>
      <c r="S489" s="12"/>
    </row>
    <row r="490" customFormat="false" ht="15" hidden="false" customHeight="false" outlineLevel="0" collapsed="false">
      <c r="A490" s="12" t="s">
        <v>3475</v>
      </c>
      <c r="B490" s="12" t="s">
        <v>1332</v>
      </c>
      <c r="C490" s="12" t="s">
        <v>2387</v>
      </c>
      <c r="D490" s="12" t="s">
        <v>2388</v>
      </c>
      <c r="E490" s="12" t="n">
        <v>22</v>
      </c>
      <c r="F490" s="12" t="n">
        <v>6</v>
      </c>
      <c r="G490" s="15" t="n">
        <v>22800</v>
      </c>
      <c r="H490" s="15" t="n">
        <v>26000</v>
      </c>
      <c r="I490" s="12" t="s">
        <v>3476</v>
      </c>
      <c r="J490" s="17" t="n">
        <v>46567</v>
      </c>
      <c r="K490" s="12" t="s">
        <v>1120</v>
      </c>
      <c r="L490" s="12" t="n">
        <v>15</v>
      </c>
      <c r="M490" s="15" t="n">
        <f aca="false">E490*G490</f>
        <v>501600</v>
      </c>
      <c r="N490" s="15" t="n">
        <f aca="false">E490*H490</f>
        <v>572000</v>
      </c>
      <c r="O490" s="18" t="n">
        <f aca="false">IF(H490=0,"",(H490-G490)/H490)</f>
        <v>0.123076923076923</v>
      </c>
      <c r="P490" s="12" t="n">
        <f aca="false">IF(J490="","",J490-README!$C$4)</f>
        <v>245</v>
      </c>
      <c r="Q490" s="12" t="str">
        <f aca="false">IF(E490=0,"Out of stock",IF(E490&lt;=F490,"Low stock","OK"))</f>
        <v>OK</v>
      </c>
      <c r="R490" s="12" t="str">
        <f aca="false">IF(J490="","No expiry",IF(P490&lt;0,"Expired",IF(P490&lt;=30,"Expiring &lt;=30 days","OK")))</f>
        <v>OK</v>
      </c>
      <c r="S490" s="12"/>
    </row>
    <row r="491" customFormat="false" ht="15" hidden="false" customHeight="false" outlineLevel="0" collapsed="false">
      <c r="A491" s="12" t="s">
        <v>3477</v>
      </c>
      <c r="B491" s="12" t="s">
        <v>1332</v>
      </c>
      <c r="C491" s="12" t="s">
        <v>2393</v>
      </c>
      <c r="D491" s="12" t="s">
        <v>2394</v>
      </c>
      <c r="E491" s="12" t="n">
        <v>21</v>
      </c>
      <c r="F491" s="12" t="n">
        <v>6</v>
      </c>
      <c r="G491" s="15" t="n">
        <v>21800</v>
      </c>
      <c r="H491" s="15" t="n">
        <v>26000</v>
      </c>
      <c r="I491" s="12" t="s">
        <v>3478</v>
      </c>
      <c r="J491" s="17" t="n">
        <v>46372</v>
      </c>
      <c r="K491" s="12" t="s">
        <v>1120</v>
      </c>
      <c r="L491" s="12" t="n">
        <v>14</v>
      </c>
      <c r="M491" s="15" t="n">
        <f aca="false">E491*G491</f>
        <v>457800</v>
      </c>
      <c r="N491" s="15" t="n">
        <f aca="false">E491*H491</f>
        <v>546000</v>
      </c>
      <c r="O491" s="18" t="n">
        <f aca="false">IF(H491=0,"",(H491-G491)/H491)</f>
        <v>0.161538461538462</v>
      </c>
      <c r="P491" s="12" t="n">
        <f aca="false">IF(J491="","",J491-README!$C$4)</f>
        <v>50</v>
      </c>
      <c r="Q491" s="12" t="str">
        <f aca="false">IF(E491=0,"Out of stock",IF(E491&lt;=F491,"Low stock","OK"))</f>
        <v>OK</v>
      </c>
      <c r="R491" s="12" t="str">
        <f aca="false">IF(J491="","No expiry",IF(P491&lt;0,"Expired",IF(P491&lt;=30,"Expiring &lt;=30 days","OK")))</f>
        <v>OK</v>
      </c>
      <c r="S491" s="12"/>
    </row>
    <row r="492" customFormat="false" ht="15" hidden="false" customHeight="false" outlineLevel="0" collapsed="false">
      <c r="A492" s="12" t="s">
        <v>3479</v>
      </c>
      <c r="B492" s="12" t="s">
        <v>1332</v>
      </c>
      <c r="C492" s="12" t="s">
        <v>2390</v>
      </c>
      <c r="D492" s="12" t="s">
        <v>2391</v>
      </c>
      <c r="E492" s="12" t="n">
        <v>38</v>
      </c>
      <c r="F492" s="12" t="n">
        <v>6</v>
      </c>
      <c r="G492" s="15" t="n">
        <v>4300</v>
      </c>
      <c r="H492" s="15" t="n">
        <v>5200</v>
      </c>
      <c r="I492" s="12" t="s">
        <v>3480</v>
      </c>
      <c r="J492" s="17" t="n">
        <v>46656</v>
      </c>
      <c r="K492" s="12" t="s">
        <v>1120</v>
      </c>
      <c r="L492" s="12" t="n">
        <v>26</v>
      </c>
      <c r="M492" s="15" t="n">
        <f aca="false">E492*G492</f>
        <v>163400</v>
      </c>
      <c r="N492" s="15" t="n">
        <f aca="false">E492*H492</f>
        <v>197600</v>
      </c>
      <c r="O492" s="18" t="n">
        <f aca="false">IF(H492=0,"",(H492-G492)/H492)</f>
        <v>0.173076923076923</v>
      </c>
      <c r="P492" s="12" t="n">
        <f aca="false">IF(J492="","",J492-README!$C$4)</f>
        <v>334</v>
      </c>
      <c r="Q492" s="12" t="str">
        <f aca="false">IF(E492=0,"Out of stock",IF(E492&lt;=F492,"Low stock","OK"))</f>
        <v>OK</v>
      </c>
      <c r="R492" s="12" t="str">
        <f aca="false">IF(J492="","No expiry",IF(P492&lt;0,"Expired",IF(P492&lt;=30,"Expiring &lt;=30 days","OK")))</f>
        <v>OK</v>
      </c>
      <c r="S492" s="12"/>
    </row>
    <row r="493" customFormat="false" ht="15" hidden="false" customHeight="false" outlineLevel="0" collapsed="false">
      <c r="A493" s="12" t="s">
        <v>3481</v>
      </c>
      <c r="B493" s="12" t="s">
        <v>1332</v>
      </c>
      <c r="C493" s="12" t="s">
        <v>2399</v>
      </c>
      <c r="D493" s="12" t="s">
        <v>2400</v>
      </c>
      <c r="E493" s="12" t="n">
        <v>14</v>
      </c>
      <c r="F493" s="12" t="n">
        <v>6</v>
      </c>
      <c r="G493" s="15" t="n">
        <v>26200</v>
      </c>
      <c r="H493" s="15" t="n">
        <v>31500</v>
      </c>
      <c r="I493" s="12" t="s">
        <v>3482</v>
      </c>
      <c r="J493" s="17" t="n">
        <v>46477</v>
      </c>
      <c r="K493" s="12" t="s">
        <v>1120</v>
      </c>
      <c r="L493" s="12" t="n">
        <v>9</v>
      </c>
      <c r="M493" s="15" t="n">
        <f aca="false">E493*G493</f>
        <v>366800</v>
      </c>
      <c r="N493" s="15" t="n">
        <f aca="false">E493*H493</f>
        <v>441000</v>
      </c>
      <c r="O493" s="18" t="n">
        <f aca="false">IF(H493=0,"",(H493-G493)/H493)</f>
        <v>0.168253968253968</v>
      </c>
      <c r="P493" s="12" t="n">
        <f aca="false">IF(J493="","",J493-README!$C$4)</f>
        <v>155</v>
      </c>
      <c r="Q493" s="12" t="str">
        <f aca="false">IF(E493=0,"Out of stock",IF(E493&lt;=F493,"Low stock","OK"))</f>
        <v>OK</v>
      </c>
      <c r="R493" s="12" t="str">
        <f aca="false">IF(J493="","No expiry",IF(P493&lt;0,"Expired",IF(P493&lt;=30,"Expiring &lt;=30 days","OK")))</f>
        <v>OK</v>
      </c>
      <c r="S493" s="12"/>
    </row>
    <row r="494" customFormat="false" ht="15" hidden="false" customHeight="false" outlineLevel="0" collapsed="false">
      <c r="A494" s="12" t="s">
        <v>3483</v>
      </c>
      <c r="B494" s="12" t="s">
        <v>1332</v>
      </c>
      <c r="C494" s="12" t="s">
        <v>2406</v>
      </c>
      <c r="D494" s="12" t="s">
        <v>2407</v>
      </c>
      <c r="E494" s="12" t="n">
        <v>25</v>
      </c>
      <c r="F494" s="12" t="n">
        <v>6</v>
      </c>
      <c r="G494" s="15" t="n">
        <v>34800</v>
      </c>
      <c r="H494" s="15" t="n">
        <v>42000</v>
      </c>
      <c r="I494" s="12" t="s">
        <v>3484</v>
      </c>
      <c r="J494" s="17" t="n">
        <v>46420</v>
      </c>
      <c r="K494" s="12" t="s">
        <v>1120</v>
      </c>
      <c r="L494" s="12" t="n">
        <v>17</v>
      </c>
      <c r="M494" s="15" t="n">
        <f aca="false">E494*G494</f>
        <v>870000</v>
      </c>
      <c r="N494" s="15" t="n">
        <f aca="false">E494*H494</f>
        <v>1050000</v>
      </c>
      <c r="O494" s="18" t="n">
        <f aca="false">IF(H494=0,"",(H494-G494)/H494)</f>
        <v>0.171428571428571</v>
      </c>
      <c r="P494" s="12" t="n">
        <f aca="false">IF(J494="","",J494-README!$C$4)</f>
        <v>98</v>
      </c>
      <c r="Q494" s="12" t="str">
        <f aca="false">IF(E494=0,"Out of stock",IF(E494&lt;=F494,"Low stock","OK"))</f>
        <v>OK</v>
      </c>
      <c r="R494" s="12" t="str">
        <f aca="false">IF(J494="","No expiry",IF(P494&lt;0,"Expired",IF(P494&lt;=30,"Expiring &lt;=30 days","OK")))</f>
        <v>OK</v>
      </c>
      <c r="S494" s="12"/>
    </row>
    <row r="495" customFormat="false" ht="15" hidden="false" customHeight="false" outlineLevel="0" collapsed="false">
      <c r="A495" s="12" t="s">
        <v>3485</v>
      </c>
      <c r="B495" s="12" t="s">
        <v>1332</v>
      </c>
      <c r="C495" s="12" t="s">
        <v>2409</v>
      </c>
      <c r="D495" s="12" t="s">
        <v>2410</v>
      </c>
      <c r="E495" s="12" t="n">
        <v>21</v>
      </c>
      <c r="F495" s="12" t="n">
        <v>6</v>
      </c>
      <c r="G495" s="15" t="n">
        <v>28000</v>
      </c>
      <c r="H495" s="15" t="n">
        <v>31500</v>
      </c>
      <c r="I495" s="12" t="s">
        <v>3486</v>
      </c>
      <c r="J495" s="17" t="n">
        <v>46533</v>
      </c>
      <c r="K495" s="12" t="s">
        <v>1111</v>
      </c>
      <c r="L495" s="12" t="n">
        <v>0</v>
      </c>
      <c r="M495" s="15" t="n">
        <f aca="false">E495*G495</f>
        <v>588000</v>
      </c>
      <c r="N495" s="15" t="n">
        <f aca="false">E495*H495</f>
        <v>661500</v>
      </c>
      <c r="O495" s="18" t="n">
        <f aca="false">IF(H495=0,"",(H495-G495)/H495)</f>
        <v>0.111111111111111</v>
      </c>
      <c r="P495" s="12" t="n">
        <f aca="false">IF(J495="","",J495-README!$C$4)</f>
        <v>211</v>
      </c>
      <c r="Q495" s="12" t="str">
        <f aca="false">IF(E495=0,"Out of stock",IF(E495&lt;=F495,"Low stock","OK"))</f>
        <v>OK</v>
      </c>
      <c r="R495" s="12" t="str">
        <f aca="false">IF(J495="","No expiry",IF(P495&lt;0,"Expired",IF(P495&lt;=30,"Expiring &lt;=30 days","OK")))</f>
        <v>OK</v>
      </c>
      <c r="S495" s="12"/>
    </row>
    <row r="496" customFormat="false" ht="15" hidden="false" customHeight="false" outlineLevel="0" collapsed="false">
      <c r="A496" s="12" t="s">
        <v>3487</v>
      </c>
      <c r="B496" s="12" t="s">
        <v>1332</v>
      </c>
      <c r="C496" s="12" t="s">
        <v>2412</v>
      </c>
      <c r="D496" s="12" t="s">
        <v>2413</v>
      </c>
      <c r="E496" s="12" t="n">
        <v>20</v>
      </c>
      <c r="F496" s="12" t="n">
        <v>8</v>
      </c>
      <c r="G496" s="15" t="n">
        <v>16100</v>
      </c>
      <c r="H496" s="15" t="n">
        <v>19000</v>
      </c>
      <c r="I496" s="12" t="s">
        <v>3488</v>
      </c>
      <c r="J496" s="17" t="n">
        <v>46732</v>
      </c>
      <c r="K496" s="12" t="s">
        <v>1120</v>
      </c>
      <c r="L496" s="12" t="n">
        <v>14</v>
      </c>
      <c r="M496" s="15" t="n">
        <f aca="false">E496*G496</f>
        <v>322000</v>
      </c>
      <c r="N496" s="15" t="n">
        <f aca="false">E496*H496</f>
        <v>380000</v>
      </c>
      <c r="O496" s="18" t="n">
        <f aca="false">IF(H496=0,"",(H496-G496)/H496)</f>
        <v>0.152631578947368</v>
      </c>
      <c r="P496" s="12" t="n">
        <f aca="false">IF(J496="","",J496-README!$C$4)</f>
        <v>410</v>
      </c>
      <c r="Q496" s="12" t="str">
        <f aca="false">IF(E496=0,"Out of stock",IF(E496&lt;=F496,"Low stock","OK"))</f>
        <v>OK</v>
      </c>
      <c r="R496" s="12" t="str">
        <f aca="false">IF(J496="","No expiry",IF(P496&lt;0,"Expired",IF(P496&lt;=30,"Expiring &lt;=30 days","OK")))</f>
        <v>OK</v>
      </c>
      <c r="S496" s="12"/>
    </row>
    <row r="497" customFormat="false" ht="15" hidden="false" customHeight="false" outlineLevel="0" collapsed="false">
      <c r="A497" s="12" t="s">
        <v>3489</v>
      </c>
      <c r="B497" s="12" t="s">
        <v>1332</v>
      </c>
      <c r="C497" s="12" t="s">
        <v>2426</v>
      </c>
      <c r="D497" s="12" t="s">
        <v>2427</v>
      </c>
      <c r="E497" s="12" t="n">
        <v>42</v>
      </c>
      <c r="F497" s="12" t="n">
        <v>8</v>
      </c>
      <c r="G497" s="15" t="n">
        <v>7400</v>
      </c>
      <c r="H497" s="15" t="n">
        <v>8400</v>
      </c>
      <c r="I497" s="12" t="s">
        <v>3490</v>
      </c>
      <c r="J497" s="17" t="n">
        <v>46903</v>
      </c>
      <c r="K497" s="12" t="s">
        <v>1120</v>
      </c>
      <c r="L497" s="12" t="n">
        <v>29</v>
      </c>
      <c r="M497" s="15" t="n">
        <f aca="false">E497*G497</f>
        <v>310800</v>
      </c>
      <c r="N497" s="15" t="n">
        <f aca="false">E497*H497</f>
        <v>352800</v>
      </c>
      <c r="O497" s="18" t="n">
        <f aca="false">IF(H497=0,"",(H497-G497)/H497)</f>
        <v>0.119047619047619</v>
      </c>
      <c r="P497" s="12" t="n">
        <f aca="false">IF(J497="","",J497-README!$C$4)</f>
        <v>581</v>
      </c>
      <c r="Q497" s="12" t="str">
        <f aca="false">IF(E497=0,"Out of stock",IF(E497&lt;=F497,"Low stock","OK"))</f>
        <v>OK</v>
      </c>
      <c r="R497" s="12" t="str">
        <f aca="false">IF(J497="","No expiry",IF(P497&lt;0,"Expired",IF(P497&lt;=30,"Expiring &lt;=30 days","OK")))</f>
        <v>OK</v>
      </c>
      <c r="S497" s="12"/>
    </row>
    <row r="498" customFormat="false" ht="15" hidden="false" customHeight="false" outlineLevel="0" collapsed="false">
      <c r="A498" s="12" t="s">
        <v>3491</v>
      </c>
      <c r="B498" s="12" t="s">
        <v>1332</v>
      </c>
      <c r="C498" s="12" t="s">
        <v>2429</v>
      </c>
      <c r="D498" s="12" t="s">
        <v>2431</v>
      </c>
      <c r="E498" s="12" t="n">
        <v>5</v>
      </c>
      <c r="F498" s="12" t="n">
        <v>4</v>
      </c>
      <c r="G498" s="15" t="n">
        <v>4400</v>
      </c>
      <c r="H498" s="15" t="n">
        <v>5200</v>
      </c>
      <c r="I498" s="12"/>
      <c r="J498" s="17"/>
      <c r="K498" s="12" t="s">
        <v>1120</v>
      </c>
      <c r="L498" s="12" t="n">
        <v>3</v>
      </c>
      <c r="M498" s="15" t="n">
        <f aca="false">E498*G498</f>
        <v>22000</v>
      </c>
      <c r="N498" s="15" t="n">
        <f aca="false">E498*H498</f>
        <v>26000</v>
      </c>
      <c r="O498" s="18" t="n">
        <f aca="false">IF(H498=0,"",(H498-G498)/H498)</f>
        <v>0.153846153846154</v>
      </c>
      <c r="P498" s="12" t="str">
        <f aca="false">IF(J498="","",J498-README!$C$4)</f>
        <v/>
      </c>
      <c r="Q498" s="12" t="str">
        <f aca="false">IF(E498=0,"Out of stock",IF(E498&lt;=F498,"Low stock","OK"))</f>
        <v>OK</v>
      </c>
      <c r="R498" s="12" t="str">
        <f aca="false">IF(J498="","No expiry",IF(P498&lt;0,"Expired",IF(P498&lt;=30,"Expiring &lt;=30 days","OK")))</f>
        <v>No expiry</v>
      </c>
      <c r="S498" s="12"/>
    </row>
    <row r="499" customFormat="false" ht="15" hidden="false" customHeight="false" outlineLevel="0" collapsed="false">
      <c r="A499" s="12" t="s">
        <v>3492</v>
      </c>
      <c r="B499" s="12" t="s">
        <v>1332</v>
      </c>
      <c r="C499" s="12" t="s">
        <v>2437</v>
      </c>
      <c r="D499" s="12" t="s">
        <v>2439</v>
      </c>
      <c r="E499" s="12" t="n">
        <v>19</v>
      </c>
      <c r="F499" s="12" t="n">
        <v>4</v>
      </c>
      <c r="G499" s="15" t="n">
        <v>10800</v>
      </c>
      <c r="H499" s="15" t="n">
        <v>12500</v>
      </c>
      <c r="I499" s="12"/>
      <c r="J499" s="17"/>
      <c r="K499" s="12" t="s">
        <v>1120</v>
      </c>
      <c r="L499" s="12" t="n">
        <v>13</v>
      </c>
      <c r="M499" s="15" t="n">
        <f aca="false">E499*G499</f>
        <v>205200</v>
      </c>
      <c r="N499" s="15" t="n">
        <f aca="false">E499*H499</f>
        <v>237500</v>
      </c>
      <c r="O499" s="18" t="n">
        <f aca="false">IF(H499=0,"",(H499-G499)/H499)</f>
        <v>0.136</v>
      </c>
      <c r="P499" s="12" t="str">
        <f aca="false">IF(J499="","",J499-README!$C$4)</f>
        <v/>
      </c>
      <c r="Q499" s="12" t="str">
        <f aca="false">IF(E499=0,"Out of stock",IF(E499&lt;=F499,"Low stock","OK"))</f>
        <v>OK</v>
      </c>
      <c r="R499" s="12" t="str">
        <f aca="false">IF(J499="","No expiry",IF(P499&lt;0,"Expired",IF(P499&lt;=30,"Expiring &lt;=30 days","OK")))</f>
        <v>No expiry</v>
      </c>
      <c r="S499" s="12"/>
    </row>
    <row r="500" customFormat="false" ht="15" hidden="false" customHeight="false" outlineLevel="0" collapsed="false">
      <c r="A500" s="12" t="s">
        <v>3493</v>
      </c>
      <c r="B500" s="12" t="s">
        <v>1332</v>
      </c>
      <c r="C500" s="12" t="s">
        <v>2441</v>
      </c>
      <c r="D500" s="12" t="s">
        <v>1882</v>
      </c>
      <c r="E500" s="12" t="n">
        <v>16</v>
      </c>
      <c r="F500" s="12" t="n">
        <v>4</v>
      </c>
      <c r="G500" s="15" t="n">
        <v>2700</v>
      </c>
      <c r="H500" s="15" t="n">
        <v>3200</v>
      </c>
      <c r="I500" s="12"/>
      <c r="J500" s="17"/>
      <c r="K500" s="12" t="s">
        <v>1120</v>
      </c>
      <c r="L500" s="12" t="n">
        <v>11</v>
      </c>
      <c r="M500" s="15" t="n">
        <f aca="false">E500*G500</f>
        <v>43200</v>
      </c>
      <c r="N500" s="15" t="n">
        <f aca="false">E500*H500</f>
        <v>51200</v>
      </c>
      <c r="O500" s="18" t="n">
        <f aca="false">IF(H500=0,"",(H500-G500)/H500)</f>
        <v>0.15625</v>
      </c>
      <c r="P500" s="12" t="str">
        <f aca="false">IF(J500="","",J500-README!$C$4)</f>
        <v/>
      </c>
      <c r="Q500" s="12" t="str">
        <f aca="false">IF(E500=0,"Out of stock",IF(E500&lt;=F500,"Low stock","OK"))</f>
        <v>OK</v>
      </c>
      <c r="R500" s="12" t="str">
        <f aca="false">IF(J500="","No expiry",IF(P500&lt;0,"Expired",IF(P500&lt;=30,"Expiring &lt;=30 days","OK")))</f>
        <v>No expiry</v>
      </c>
      <c r="S500" s="12"/>
    </row>
    <row r="501" customFormat="false" ht="15" hidden="false" customHeight="false" outlineLevel="0" collapsed="false">
      <c r="A501" s="12" t="s">
        <v>3494</v>
      </c>
      <c r="B501" s="12" t="s">
        <v>1332</v>
      </c>
      <c r="C501" s="12" t="s">
        <v>2447</v>
      </c>
      <c r="D501" s="12" t="s">
        <v>1892</v>
      </c>
      <c r="E501" s="12" t="n">
        <v>17</v>
      </c>
      <c r="F501" s="12" t="n">
        <v>4</v>
      </c>
      <c r="G501" s="15" t="n">
        <v>21800</v>
      </c>
      <c r="H501" s="15" t="n">
        <v>26000</v>
      </c>
      <c r="I501" s="12"/>
      <c r="J501" s="17"/>
      <c r="K501" s="12" t="s">
        <v>1111</v>
      </c>
      <c r="L501" s="12" t="n">
        <v>0</v>
      </c>
      <c r="M501" s="15" t="n">
        <f aca="false">E501*G501</f>
        <v>370600</v>
      </c>
      <c r="N501" s="15" t="n">
        <f aca="false">E501*H501</f>
        <v>442000</v>
      </c>
      <c r="O501" s="18" t="n">
        <f aca="false">IF(H501=0,"",(H501-G501)/H501)</f>
        <v>0.161538461538462</v>
      </c>
      <c r="P501" s="12" t="str">
        <f aca="false">IF(J501="","",J501-README!$C$4)</f>
        <v/>
      </c>
      <c r="Q501" s="12" t="str">
        <f aca="false">IF(E501=0,"Out of stock",IF(E501&lt;=F501,"Low stock","OK"))</f>
        <v>OK</v>
      </c>
      <c r="R501" s="12" t="str">
        <f aca="false">IF(J501="","No expiry",IF(P501&lt;0,"Expired",IF(P501&lt;=30,"Expiring &lt;=30 days","OK")))</f>
        <v>No expiry</v>
      </c>
      <c r="S501" s="12"/>
    </row>
    <row r="502" customFormat="false" ht="15" hidden="false" customHeight="false" outlineLevel="0" collapsed="false">
      <c r="A502" s="12" t="s">
        <v>3495</v>
      </c>
      <c r="B502" s="12" t="s">
        <v>1332</v>
      </c>
      <c r="C502" s="12" t="s">
        <v>2449</v>
      </c>
      <c r="D502" s="12" t="s">
        <v>1897</v>
      </c>
      <c r="E502" s="12" t="n">
        <v>20</v>
      </c>
      <c r="F502" s="12" t="n">
        <v>4</v>
      </c>
      <c r="G502" s="15" t="n">
        <v>16500</v>
      </c>
      <c r="H502" s="15" t="n">
        <v>19000</v>
      </c>
      <c r="I502" s="12"/>
      <c r="J502" s="17"/>
      <c r="K502" s="12" t="s">
        <v>1120</v>
      </c>
      <c r="L502" s="12" t="n">
        <v>14</v>
      </c>
      <c r="M502" s="15" t="n">
        <f aca="false">E502*G502</f>
        <v>330000</v>
      </c>
      <c r="N502" s="15" t="n">
        <f aca="false">E502*H502</f>
        <v>380000</v>
      </c>
      <c r="O502" s="18" t="n">
        <f aca="false">IF(H502=0,"",(H502-G502)/H502)</f>
        <v>0.131578947368421</v>
      </c>
      <c r="P502" s="12" t="str">
        <f aca="false">IF(J502="","",J502-README!$C$4)</f>
        <v/>
      </c>
      <c r="Q502" s="12" t="str">
        <f aca="false">IF(E502=0,"Out of stock",IF(E502&lt;=F502,"Low stock","OK"))</f>
        <v>OK</v>
      </c>
      <c r="R502" s="12" t="str">
        <f aca="false">IF(J502="","No expiry",IF(P502&lt;0,"Expired",IF(P502&lt;=30,"Expiring &lt;=30 days","OK")))</f>
        <v>No expiry</v>
      </c>
      <c r="S502" s="12"/>
    </row>
    <row r="503" customFormat="false" ht="15" hidden="false" customHeight="false" outlineLevel="0" collapsed="false">
      <c r="A503" s="12" t="s">
        <v>3496</v>
      </c>
      <c r="B503" s="12" t="s">
        <v>1332</v>
      </c>
      <c r="C503" s="12" t="s">
        <v>2451</v>
      </c>
      <c r="D503" s="12" t="s">
        <v>1903</v>
      </c>
      <c r="E503" s="12" t="n">
        <v>7</v>
      </c>
      <c r="F503" s="12" t="n">
        <v>4</v>
      </c>
      <c r="G503" s="15" t="n">
        <v>30900</v>
      </c>
      <c r="H503" s="15" t="n">
        <v>37000</v>
      </c>
      <c r="I503" s="12"/>
      <c r="J503" s="17"/>
      <c r="K503" s="12" t="s">
        <v>1120</v>
      </c>
      <c r="L503" s="12" t="n">
        <v>4</v>
      </c>
      <c r="M503" s="15" t="n">
        <f aca="false">E503*G503</f>
        <v>216300</v>
      </c>
      <c r="N503" s="15" t="n">
        <f aca="false">E503*H503</f>
        <v>259000</v>
      </c>
      <c r="O503" s="18" t="n">
        <f aca="false">IF(H503=0,"",(H503-G503)/H503)</f>
        <v>0.164864864864865</v>
      </c>
      <c r="P503" s="12" t="str">
        <f aca="false">IF(J503="","",J503-README!$C$4)</f>
        <v/>
      </c>
      <c r="Q503" s="12" t="str">
        <f aca="false">IF(E503=0,"Out of stock",IF(E503&lt;=F503,"Low stock","OK"))</f>
        <v>OK</v>
      </c>
      <c r="R503" s="12" t="str">
        <f aca="false">IF(J503="","No expiry",IF(P503&lt;0,"Expired",IF(P503&lt;=30,"Expiring &lt;=30 days","OK")))</f>
        <v>No expiry</v>
      </c>
      <c r="S503" s="12"/>
    </row>
    <row r="504" customFormat="false" ht="15" hidden="false" customHeight="false" outlineLevel="0" collapsed="false">
      <c r="A504" s="12" t="s">
        <v>3497</v>
      </c>
      <c r="B504" s="12" t="s">
        <v>1332</v>
      </c>
      <c r="C504" s="12" t="s">
        <v>2453</v>
      </c>
      <c r="D504" s="12" t="s">
        <v>1908</v>
      </c>
      <c r="E504" s="12" t="n">
        <v>5</v>
      </c>
      <c r="F504" s="12" t="n">
        <v>1</v>
      </c>
      <c r="G504" s="15" t="n">
        <v>602300</v>
      </c>
      <c r="H504" s="15" t="n">
        <v>682500</v>
      </c>
      <c r="I504" s="12"/>
      <c r="J504" s="17"/>
      <c r="K504" s="12" t="s">
        <v>1111</v>
      </c>
      <c r="L504" s="12" t="n">
        <v>0</v>
      </c>
      <c r="M504" s="15" t="n">
        <f aca="false">E504*G504</f>
        <v>3011500</v>
      </c>
      <c r="N504" s="15" t="n">
        <f aca="false">E504*H504</f>
        <v>3412500</v>
      </c>
      <c r="O504" s="18" t="n">
        <f aca="false">IF(H504=0,"",(H504-G504)/H504)</f>
        <v>0.117509157509158</v>
      </c>
      <c r="P504" s="12" t="str">
        <f aca="false">IF(J504="","",J504-README!$C$4)</f>
        <v/>
      </c>
      <c r="Q504" s="12" t="str">
        <f aca="false">IF(E504=0,"Out of stock",IF(E504&lt;=F504,"Low stock","OK"))</f>
        <v>OK</v>
      </c>
      <c r="R504" s="12" t="str">
        <f aca="false">IF(J504="","No expiry",IF(P504&lt;0,"Expired",IF(P504&lt;=30,"Expiring &lt;=30 days","OK")))</f>
        <v>No expiry</v>
      </c>
      <c r="S504" s="12"/>
    </row>
    <row r="505" customFormat="false" ht="15" hidden="false" customHeight="false" outlineLevel="0" collapsed="false">
      <c r="A505" s="12" t="s">
        <v>3498</v>
      </c>
      <c r="B505" s="12" t="s">
        <v>1332</v>
      </c>
      <c r="C505" s="12" t="s">
        <v>2455</v>
      </c>
      <c r="D505" s="12" t="s">
        <v>1914</v>
      </c>
      <c r="E505" s="12" t="n">
        <v>19</v>
      </c>
      <c r="F505" s="12" t="n">
        <v>4</v>
      </c>
      <c r="G505" s="15" t="n">
        <v>162600</v>
      </c>
      <c r="H505" s="15" t="n">
        <v>189000</v>
      </c>
      <c r="I505" s="12"/>
      <c r="J505" s="17"/>
      <c r="K505" s="12" t="s">
        <v>1120</v>
      </c>
      <c r="L505" s="12" t="n">
        <v>13</v>
      </c>
      <c r="M505" s="15" t="n">
        <f aca="false">E505*G505</f>
        <v>3089400</v>
      </c>
      <c r="N505" s="15" t="n">
        <f aca="false">E505*H505</f>
        <v>3591000</v>
      </c>
      <c r="O505" s="18" t="n">
        <f aca="false">IF(H505=0,"",(H505-G505)/H505)</f>
        <v>0.13968253968254</v>
      </c>
      <c r="P505" s="12" t="str">
        <f aca="false">IF(J505="","",J505-README!$C$4)</f>
        <v/>
      </c>
      <c r="Q505" s="12" t="str">
        <f aca="false">IF(E505=0,"Out of stock",IF(E505&lt;=F505,"Low stock","OK"))</f>
        <v>OK</v>
      </c>
      <c r="R505" s="12" t="str">
        <f aca="false">IF(J505="","No expiry",IF(P505&lt;0,"Expired",IF(P505&lt;=30,"Expiring &lt;=30 days","OK")))</f>
        <v>No expiry</v>
      </c>
      <c r="S505" s="12"/>
    </row>
    <row r="506" customFormat="false" ht="15" hidden="false" customHeight="false" outlineLevel="0" collapsed="false">
      <c r="A506" s="12" t="s">
        <v>3499</v>
      </c>
      <c r="B506" s="12" t="s">
        <v>1332</v>
      </c>
      <c r="C506" s="12" t="s">
        <v>2457</v>
      </c>
      <c r="D506" s="12" t="s">
        <v>1919</v>
      </c>
      <c r="E506" s="12" t="n">
        <v>6</v>
      </c>
      <c r="F506" s="12" t="n">
        <v>1</v>
      </c>
      <c r="G506" s="15" t="n">
        <v>322800</v>
      </c>
      <c r="H506" s="15" t="n">
        <v>399000</v>
      </c>
      <c r="I506" s="12"/>
      <c r="J506" s="17"/>
      <c r="K506" s="12" t="s">
        <v>1120</v>
      </c>
      <c r="L506" s="12" t="n">
        <v>4</v>
      </c>
      <c r="M506" s="15" t="n">
        <f aca="false">E506*G506</f>
        <v>1936800</v>
      </c>
      <c r="N506" s="15" t="n">
        <f aca="false">E506*H506</f>
        <v>2394000</v>
      </c>
      <c r="O506" s="18" t="n">
        <f aca="false">IF(H506=0,"",(H506-G506)/H506)</f>
        <v>0.190977443609023</v>
      </c>
      <c r="P506" s="12" t="str">
        <f aca="false">IF(J506="","",J506-README!$C$4)</f>
        <v/>
      </c>
      <c r="Q506" s="12" t="str">
        <f aca="false">IF(E506=0,"Out of stock",IF(E506&lt;=F506,"Low stock","OK"))</f>
        <v>OK</v>
      </c>
      <c r="R506" s="12" t="str">
        <f aca="false">IF(J506="","No expiry",IF(P506&lt;0,"Expired",IF(P506&lt;=30,"Expiring &lt;=30 days","OK")))</f>
        <v>No expiry</v>
      </c>
      <c r="S506" s="12"/>
    </row>
    <row r="507" customFormat="false" ht="15" hidden="false" customHeight="false" outlineLevel="0" collapsed="false">
      <c r="A507" s="12" t="s">
        <v>3500</v>
      </c>
      <c r="B507" s="12" t="s">
        <v>1332</v>
      </c>
      <c r="C507" s="12" t="s">
        <v>2461</v>
      </c>
      <c r="D507" s="12" t="s">
        <v>2463</v>
      </c>
      <c r="E507" s="12" t="n">
        <v>17</v>
      </c>
      <c r="F507" s="12" t="n">
        <v>8</v>
      </c>
      <c r="G507" s="15" t="n">
        <v>29800</v>
      </c>
      <c r="H507" s="15" t="n">
        <v>37000</v>
      </c>
      <c r="I507" s="12"/>
      <c r="J507" s="17"/>
      <c r="K507" s="12" t="s">
        <v>1111</v>
      </c>
      <c r="L507" s="12" t="n">
        <v>0</v>
      </c>
      <c r="M507" s="15" t="n">
        <f aca="false">E507*G507</f>
        <v>506600</v>
      </c>
      <c r="N507" s="15" t="n">
        <f aca="false">E507*H507</f>
        <v>629000</v>
      </c>
      <c r="O507" s="18" t="n">
        <f aca="false">IF(H507=0,"",(H507-G507)/H507)</f>
        <v>0.194594594594595</v>
      </c>
      <c r="P507" s="12" t="str">
        <f aca="false">IF(J507="","",J507-README!$C$4)</f>
        <v/>
      </c>
      <c r="Q507" s="12" t="str">
        <f aca="false">IF(E507=0,"Out of stock",IF(E507&lt;=F507,"Low stock","OK"))</f>
        <v>OK</v>
      </c>
      <c r="R507" s="12" t="str">
        <f aca="false">IF(J507="","No expiry",IF(P507&lt;0,"Expired",IF(P507&lt;=30,"Expiring &lt;=30 days","OK")))</f>
        <v>No expiry</v>
      </c>
      <c r="S507" s="12"/>
    </row>
    <row r="508" customFormat="false" ht="15" hidden="false" customHeight="false" outlineLevel="0" collapsed="false">
      <c r="A508" s="12" t="s">
        <v>3501</v>
      </c>
      <c r="B508" s="12" t="s">
        <v>1332</v>
      </c>
      <c r="C508" s="12" t="s">
        <v>2465</v>
      </c>
      <c r="D508" s="12" t="s">
        <v>1935</v>
      </c>
      <c r="E508" s="12" t="n">
        <v>5</v>
      </c>
      <c r="F508" s="12" t="n">
        <v>4</v>
      </c>
      <c r="G508" s="15" t="n">
        <v>39200</v>
      </c>
      <c r="H508" s="15" t="n">
        <v>47000</v>
      </c>
      <c r="I508" s="12"/>
      <c r="J508" s="17"/>
      <c r="K508" s="12" t="s">
        <v>1120</v>
      </c>
      <c r="L508" s="12" t="n">
        <v>3</v>
      </c>
      <c r="M508" s="15" t="n">
        <f aca="false">E508*G508</f>
        <v>196000</v>
      </c>
      <c r="N508" s="15" t="n">
        <f aca="false">E508*H508</f>
        <v>235000</v>
      </c>
      <c r="O508" s="18" t="n">
        <f aca="false">IF(H508=0,"",(H508-G508)/H508)</f>
        <v>0.165957446808511</v>
      </c>
      <c r="P508" s="12" t="str">
        <f aca="false">IF(J508="","",J508-README!$C$4)</f>
        <v/>
      </c>
      <c r="Q508" s="12" t="str">
        <f aca="false">IF(E508=0,"Out of stock",IF(E508&lt;=F508,"Low stock","OK"))</f>
        <v>OK</v>
      </c>
      <c r="R508" s="12" t="str">
        <f aca="false">IF(J508="","No expiry",IF(P508&lt;0,"Expired",IF(P508&lt;=30,"Expiring &lt;=30 days","OK")))</f>
        <v>No expiry</v>
      </c>
      <c r="S508" s="12"/>
    </row>
    <row r="509" customFormat="false" ht="15" hidden="false" customHeight="false" outlineLevel="0" collapsed="false">
      <c r="A509" s="12" t="s">
        <v>3502</v>
      </c>
      <c r="B509" s="12" t="s">
        <v>1332</v>
      </c>
      <c r="C509" s="12" t="s">
        <v>2467</v>
      </c>
      <c r="D509" s="12" t="s">
        <v>2468</v>
      </c>
      <c r="E509" s="12" t="n">
        <v>19</v>
      </c>
      <c r="F509" s="12" t="n">
        <v>2</v>
      </c>
      <c r="G509" s="15" t="n">
        <v>22100</v>
      </c>
      <c r="H509" s="15" t="n">
        <v>26000</v>
      </c>
      <c r="I509" s="12"/>
      <c r="J509" s="17"/>
      <c r="K509" s="12" t="s">
        <v>1120</v>
      </c>
      <c r="L509" s="12" t="n">
        <v>13</v>
      </c>
      <c r="M509" s="15" t="n">
        <f aca="false">E509*G509</f>
        <v>419900</v>
      </c>
      <c r="N509" s="15" t="n">
        <f aca="false">E509*H509</f>
        <v>494000</v>
      </c>
      <c r="O509" s="18" t="n">
        <f aca="false">IF(H509=0,"",(H509-G509)/H509)</f>
        <v>0.15</v>
      </c>
      <c r="P509" s="12" t="str">
        <f aca="false">IF(J509="","",J509-README!$C$4)</f>
        <v/>
      </c>
      <c r="Q509" s="12" t="str">
        <f aca="false">IF(E509=0,"Out of stock",IF(E509&lt;=F509,"Low stock","OK"))</f>
        <v>OK</v>
      </c>
      <c r="R509" s="12" t="str">
        <f aca="false">IF(J509="","No expiry",IF(P509&lt;0,"Expired",IF(P509&lt;=30,"Expiring &lt;=30 days","OK")))</f>
        <v>No expiry</v>
      </c>
      <c r="S509" s="12"/>
    </row>
    <row r="510" customFormat="false" ht="15" hidden="false" customHeight="false" outlineLevel="0" collapsed="false">
      <c r="A510" s="12" t="s">
        <v>3503</v>
      </c>
      <c r="B510" s="12" t="s">
        <v>1332</v>
      </c>
      <c r="C510" s="12" t="s">
        <v>2470</v>
      </c>
      <c r="D510" s="12" t="s">
        <v>1945</v>
      </c>
      <c r="E510" s="12" t="n">
        <v>8</v>
      </c>
      <c r="F510" s="12" t="n">
        <v>4</v>
      </c>
      <c r="G510" s="15" t="n">
        <v>48400</v>
      </c>
      <c r="H510" s="15" t="n">
        <v>58000</v>
      </c>
      <c r="I510" s="12"/>
      <c r="J510" s="17"/>
      <c r="K510" s="12" t="s">
        <v>1120</v>
      </c>
      <c r="L510" s="12" t="n">
        <v>5</v>
      </c>
      <c r="M510" s="15" t="n">
        <f aca="false">E510*G510</f>
        <v>387200</v>
      </c>
      <c r="N510" s="15" t="n">
        <f aca="false">E510*H510</f>
        <v>464000</v>
      </c>
      <c r="O510" s="18" t="n">
        <f aca="false">IF(H510=0,"",(H510-G510)/H510)</f>
        <v>0.16551724137931</v>
      </c>
      <c r="P510" s="12" t="str">
        <f aca="false">IF(J510="","",J510-README!$C$4)</f>
        <v/>
      </c>
      <c r="Q510" s="12" t="str">
        <f aca="false">IF(E510=0,"Out of stock",IF(E510&lt;=F510,"Low stock","OK"))</f>
        <v>OK</v>
      </c>
      <c r="R510" s="12" t="str">
        <f aca="false">IF(J510="","No expiry",IF(P510&lt;0,"Expired",IF(P510&lt;=30,"Expiring &lt;=30 days","OK")))</f>
        <v>No expiry</v>
      </c>
      <c r="S510" s="12"/>
    </row>
    <row r="511" customFormat="false" ht="15" hidden="false" customHeight="false" outlineLevel="0" collapsed="false">
      <c r="A511" s="12" t="s">
        <v>3504</v>
      </c>
      <c r="B511" s="12" t="s">
        <v>1332</v>
      </c>
      <c r="C511" s="12" t="s">
        <v>2472</v>
      </c>
      <c r="D511" s="12" t="s">
        <v>1950</v>
      </c>
      <c r="E511" s="12" t="n">
        <v>15</v>
      </c>
      <c r="F511" s="12" t="n">
        <v>4</v>
      </c>
      <c r="G511" s="15" t="n">
        <v>12900</v>
      </c>
      <c r="H511" s="15" t="n">
        <v>16000</v>
      </c>
      <c r="I511" s="12"/>
      <c r="J511" s="17"/>
      <c r="K511" s="12" t="s">
        <v>1120</v>
      </c>
      <c r="L511" s="12" t="n">
        <v>10</v>
      </c>
      <c r="M511" s="15" t="n">
        <f aca="false">E511*G511</f>
        <v>193500</v>
      </c>
      <c r="N511" s="15" t="n">
        <f aca="false">E511*H511</f>
        <v>240000</v>
      </c>
      <c r="O511" s="18" t="n">
        <f aca="false">IF(H511=0,"",(H511-G511)/H511)</f>
        <v>0.19375</v>
      </c>
      <c r="P511" s="12" t="str">
        <f aca="false">IF(J511="","",J511-README!$C$4)</f>
        <v/>
      </c>
      <c r="Q511" s="12" t="str">
        <f aca="false">IF(E511=0,"Out of stock",IF(E511&lt;=F511,"Low stock","OK"))</f>
        <v>OK</v>
      </c>
      <c r="R511" s="12" t="str">
        <f aca="false">IF(J511="","No expiry",IF(P511&lt;0,"Expired",IF(P511&lt;=30,"Expiring &lt;=30 days","OK")))</f>
        <v>No expiry</v>
      </c>
      <c r="S511" s="12"/>
    </row>
    <row r="512" customFormat="false" ht="15" hidden="false" customHeight="false" outlineLevel="0" collapsed="false">
      <c r="A512" s="12" t="s">
        <v>3505</v>
      </c>
      <c r="B512" s="12" t="s">
        <v>1332</v>
      </c>
      <c r="C512" s="12" t="s">
        <v>2478</v>
      </c>
      <c r="D512" s="12" t="s">
        <v>1961</v>
      </c>
      <c r="E512" s="12" t="n">
        <v>15</v>
      </c>
      <c r="F512" s="12" t="n">
        <v>4</v>
      </c>
      <c r="G512" s="15" t="n">
        <v>32800</v>
      </c>
      <c r="H512" s="15" t="n">
        <v>37000</v>
      </c>
      <c r="I512" s="12"/>
      <c r="J512" s="17"/>
      <c r="K512" s="12" t="s">
        <v>1120</v>
      </c>
      <c r="L512" s="12" t="n">
        <v>10</v>
      </c>
      <c r="M512" s="15" t="n">
        <f aca="false">E512*G512</f>
        <v>492000</v>
      </c>
      <c r="N512" s="15" t="n">
        <f aca="false">E512*H512</f>
        <v>555000</v>
      </c>
      <c r="O512" s="18" t="n">
        <f aca="false">IF(H512=0,"",(H512-G512)/H512)</f>
        <v>0.113513513513514</v>
      </c>
      <c r="P512" s="12" t="str">
        <f aca="false">IF(J512="","",J512-README!$C$4)</f>
        <v/>
      </c>
      <c r="Q512" s="12" t="str">
        <f aca="false">IF(E512=0,"Out of stock",IF(E512&lt;=F512,"Low stock","OK"))</f>
        <v>OK</v>
      </c>
      <c r="R512" s="12" t="str">
        <f aca="false">IF(J512="","No expiry",IF(P512&lt;0,"Expired",IF(P512&lt;=30,"Expiring &lt;=30 days","OK")))</f>
        <v>No expiry</v>
      </c>
      <c r="S512" s="12"/>
    </row>
    <row r="513" customFormat="false" ht="15" hidden="false" customHeight="false" outlineLevel="0" collapsed="false">
      <c r="A513" s="12" t="s">
        <v>3506</v>
      </c>
      <c r="B513" s="12" t="s">
        <v>1332</v>
      </c>
      <c r="C513" s="12" t="s">
        <v>2532</v>
      </c>
      <c r="D513" s="12" t="s">
        <v>2534</v>
      </c>
      <c r="E513" s="12" t="n">
        <v>87</v>
      </c>
      <c r="F513" s="12" t="n">
        <v>18</v>
      </c>
      <c r="G513" s="15" t="n">
        <v>13000</v>
      </c>
      <c r="H513" s="15" t="n">
        <v>14500</v>
      </c>
      <c r="I513" s="12"/>
      <c r="J513" s="17"/>
      <c r="K513" s="12" t="s">
        <v>1120</v>
      </c>
      <c r="L513" s="12" t="n">
        <v>60</v>
      </c>
      <c r="M513" s="15" t="n">
        <f aca="false">E513*G513</f>
        <v>1131000</v>
      </c>
      <c r="N513" s="15" t="n">
        <f aca="false">E513*H513</f>
        <v>1261500</v>
      </c>
      <c r="O513" s="18" t="n">
        <f aca="false">IF(H513=0,"",(H513-G513)/H513)</f>
        <v>0.103448275862069</v>
      </c>
      <c r="P513" s="12" t="str">
        <f aca="false">IF(J513="","",J513-README!$C$4)</f>
        <v/>
      </c>
      <c r="Q513" s="12" t="str">
        <f aca="false">IF(E513=0,"Out of stock",IF(E513&lt;=F513,"Low stock","OK"))</f>
        <v>OK</v>
      </c>
      <c r="R513" s="12" t="str">
        <f aca="false">IF(J513="","No expiry",IF(P513&lt;0,"Expired",IF(P513&lt;=30,"Expiring &lt;=30 days","OK")))</f>
        <v>No expiry</v>
      </c>
      <c r="S513" s="12"/>
    </row>
    <row r="514" customFormat="false" ht="15" hidden="false" customHeight="false" outlineLevel="0" collapsed="false">
      <c r="A514" s="12" t="s">
        <v>3507</v>
      </c>
      <c r="B514" s="12" t="s">
        <v>1345</v>
      </c>
      <c r="C514" s="12" t="s">
        <v>2074</v>
      </c>
      <c r="D514" s="12" t="s">
        <v>2076</v>
      </c>
      <c r="E514" s="12" t="n">
        <v>25</v>
      </c>
      <c r="F514" s="12" t="n">
        <v>11</v>
      </c>
      <c r="G514" s="15" t="n">
        <v>73500</v>
      </c>
      <c r="H514" s="15" t="n">
        <v>87500</v>
      </c>
      <c r="I514" s="12" t="s">
        <v>3508</v>
      </c>
      <c r="J514" s="17" t="n">
        <v>46402</v>
      </c>
      <c r="K514" s="12" t="s">
        <v>1120</v>
      </c>
      <c r="L514" s="12" t="n">
        <v>17</v>
      </c>
      <c r="M514" s="15" t="n">
        <f aca="false">E514*G514</f>
        <v>1837500</v>
      </c>
      <c r="N514" s="15" t="n">
        <f aca="false">E514*H514</f>
        <v>2187500</v>
      </c>
      <c r="O514" s="18" t="n">
        <f aca="false">IF(H514=0,"",(H514-G514)/H514)</f>
        <v>0.16</v>
      </c>
      <c r="P514" s="12" t="n">
        <f aca="false">IF(J514="","",J514-README!$C$4)</f>
        <v>80</v>
      </c>
      <c r="Q514" s="12" t="str">
        <f aca="false">IF(E514=0,"Out of stock",IF(E514&lt;=F514,"Low stock","OK"))</f>
        <v>OK</v>
      </c>
      <c r="R514" s="12" t="str">
        <f aca="false">IF(J514="","No expiry",IF(P514&lt;0,"Expired",IF(P514&lt;=30,"Expiring &lt;=30 days","OK")))</f>
        <v>OK</v>
      </c>
      <c r="S514" s="12"/>
    </row>
    <row r="515" customFormat="false" ht="15" hidden="false" customHeight="false" outlineLevel="0" collapsed="false">
      <c r="A515" s="12" t="s">
        <v>3509</v>
      </c>
      <c r="B515" s="12" t="s">
        <v>1345</v>
      </c>
      <c r="C515" s="12" t="s">
        <v>2081</v>
      </c>
      <c r="D515" s="12" t="s">
        <v>2082</v>
      </c>
      <c r="E515" s="12" t="n">
        <v>30</v>
      </c>
      <c r="F515" s="12" t="n">
        <v>11</v>
      </c>
      <c r="G515" s="15" t="n">
        <v>70800</v>
      </c>
      <c r="H515" s="15" t="n">
        <v>83500</v>
      </c>
      <c r="I515" s="12" t="s">
        <v>3510</v>
      </c>
      <c r="J515" s="17" t="n">
        <v>46376</v>
      </c>
      <c r="K515" s="12" t="s">
        <v>1120</v>
      </c>
      <c r="L515" s="12" t="n">
        <v>21</v>
      </c>
      <c r="M515" s="15" t="n">
        <f aca="false">E515*G515</f>
        <v>2124000</v>
      </c>
      <c r="N515" s="15" t="n">
        <f aca="false">E515*H515</f>
        <v>2505000</v>
      </c>
      <c r="O515" s="18" t="n">
        <f aca="false">IF(H515=0,"",(H515-G515)/H515)</f>
        <v>0.152095808383234</v>
      </c>
      <c r="P515" s="12" t="n">
        <f aca="false">IF(J515="","",J515-README!$C$4)</f>
        <v>54</v>
      </c>
      <c r="Q515" s="12" t="str">
        <f aca="false">IF(E515=0,"Out of stock",IF(E515&lt;=F515,"Low stock","OK"))</f>
        <v>OK</v>
      </c>
      <c r="R515" s="12" t="str">
        <f aca="false">IF(J515="","No expiry",IF(P515&lt;0,"Expired",IF(P515&lt;=30,"Expiring &lt;=30 days","OK")))</f>
        <v>OK</v>
      </c>
      <c r="S515" s="12"/>
    </row>
    <row r="516" customFormat="false" ht="15" hidden="false" customHeight="false" outlineLevel="0" collapsed="false">
      <c r="A516" s="12" t="s">
        <v>3511</v>
      </c>
      <c r="B516" s="12" t="s">
        <v>1345</v>
      </c>
      <c r="C516" s="12" t="s">
        <v>2087</v>
      </c>
      <c r="D516" s="12" t="s">
        <v>2088</v>
      </c>
      <c r="E516" s="12" t="n">
        <v>39</v>
      </c>
      <c r="F516" s="12" t="n">
        <v>11</v>
      </c>
      <c r="G516" s="15" t="n">
        <v>66700</v>
      </c>
      <c r="H516" s="15" t="n">
        <v>81500</v>
      </c>
      <c r="I516" s="12" t="s">
        <v>3512</v>
      </c>
      <c r="J516" s="17" t="n">
        <v>46391</v>
      </c>
      <c r="K516" s="12" t="s">
        <v>1120</v>
      </c>
      <c r="L516" s="12" t="n">
        <v>27</v>
      </c>
      <c r="M516" s="15" t="n">
        <f aca="false">E516*G516</f>
        <v>2601300</v>
      </c>
      <c r="N516" s="15" t="n">
        <f aca="false">E516*H516</f>
        <v>3178500</v>
      </c>
      <c r="O516" s="18" t="n">
        <f aca="false">IF(H516=0,"",(H516-G516)/H516)</f>
        <v>0.18159509202454</v>
      </c>
      <c r="P516" s="12" t="n">
        <f aca="false">IF(J516="","",J516-README!$C$4)</f>
        <v>69</v>
      </c>
      <c r="Q516" s="12" t="str">
        <f aca="false">IF(E516=0,"Out of stock",IF(E516&lt;=F516,"Low stock","OK"))</f>
        <v>OK</v>
      </c>
      <c r="R516" s="12" t="str">
        <f aca="false">IF(J516="","No expiry",IF(P516&lt;0,"Expired",IF(P516&lt;=30,"Expiring &lt;=30 days","OK")))</f>
        <v>OK</v>
      </c>
      <c r="S516" s="12"/>
    </row>
    <row r="517" customFormat="false" ht="15" hidden="false" customHeight="false" outlineLevel="0" collapsed="false">
      <c r="A517" s="12" t="s">
        <v>3513</v>
      </c>
      <c r="B517" s="12" t="s">
        <v>1345</v>
      </c>
      <c r="C517" s="12" t="s">
        <v>2090</v>
      </c>
      <c r="D517" s="12" t="s">
        <v>2091</v>
      </c>
      <c r="E517" s="12" t="n">
        <v>20</v>
      </c>
      <c r="F517" s="12" t="n">
        <v>11</v>
      </c>
      <c r="G517" s="15" t="n">
        <v>64500</v>
      </c>
      <c r="H517" s="15" t="n">
        <v>75000</v>
      </c>
      <c r="I517" s="12" t="s">
        <v>3514</v>
      </c>
      <c r="J517" s="17" t="n">
        <v>46434</v>
      </c>
      <c r="K517" s="12" t="s">
        <v>1120</v>
      </c>
      <c r="L517" s="12" t="n">
        <v>14</v>
      </c>
      <c r="M517" s="15" t="n">
        <f aca="false">E517*G517</f>
        <v>1290000</v>
      </c>
      <c r="N517" s="15" t="n">
        <f aca="false">E517*H517</f>
        <v>1500000</v>
      </c>
      <c r="O517" s="18" t="n">
        <f aca="false">IF(H517=0,"",(H517-G517)/H517)</f>
        <v>0.14</v>
      </c>
      <c r="P517" s="12" t="n">
        <f aca="false">IF(J517="","",J517-README!$C$4)</f>
        <v>112</v>
      </c>
      <c r="Q517" s="12" t="str">
        <f aca="false">IF(E517=0,"Out of stock",IF(E517&lt;=F517,"Low stock","OK"))</f>
        <v>OK</v>
      </c>
      <c r="R517" s="12" t="str">
        <f aca="false">IF(J517="","No expiry",IF(P517&lt;0,"Expired",IF(P517&lt;=30,"Expiring &lt;=30 days","OK")))</f>
        <v>OK</v>
      </c>
      <c r="S517" s="12"/>
    </row>
    <row r="518" customFormat="false" ht="15" hidden="false" customHeight="false" outlineLevel="0" collapsed="false">
      <c r="A518" s="12" t="s">
        <v>3515</v>
      </c>
      <c r="B518" s="12" t="s">
        <v>1345</v>
      </c>
      <c r="C518" s="12" t="s">
        <v>2093</v>
      </c>
      <c r="D518" s="12" t="s">
        <v>2094</v>
      </c>
      <c r="E518" s="12" t="n">
        <v>41</v>
      </c>
      <c r="F518" s="12" t="n">
        <v>11</v>
      </c>
      <c r="G518" s="15" t="n">
        <v>27400</v>
      </c>
      <c r="H518" s="15" t="n">
        <v>34000</v>
      </c>
      <c r="I518" s="12" t="s">
        <v>3516</v>
      </c>
      <c r="J518" s="17" t="n">
        <v>46425</v>
      </c>
      <c r="K518" s="12" t="s">
        <v>1120</v>
      </c>
      <c r="L518" s="12" t="n">
        <v>28</v>
      </c>
      <c r="M518" s="15" t="n">
        <f aca="false">E518*G518</f>
        <v>1123400</v>
      </c>
      <c r="N518" s="15" t="n">
        <f aca="false">E518*H518</f>
        <v>1394000</v>
      </c>
      <c r="O518" s="18" t="n">
        <f aca="false">IF(H518=0,"",(H518-G518)/H518)</f>
        <v>0.194117647058824</v>
      </c>
      <c r="P518" s="12" t="n">
        <f aca="false">IF(J518="","",J518-README!$C$4)</f>
        <v>103</v>
      </c>
      <c r="Q518" s="12" t="str">
        <f aca="false">IF(E518=0,"Out of stock",IF(E518&lt;=F518,"Low stock","OK"))</f>
        <v>OK</v>
      </c>
      <c r="R518" s="12" t="str">
        <f aca="false">IF(J518="","No expiry",IF(P518&lt;0,"Expired",IF(P518&lt;=30,"Expiring &lt;=30 days","OK")))</f>
        <v>OK</v>
      </c>
      <c r="S518" s="12"/>
    </row>
    <row r="519" customFormat="false" ht="15" hidden="false" customHeight="false" outlineLevel="0" collapsed="false">
      <c r="A519" s="12" t="s">
        <v>3517</v>
      </c>
      <c r="B519" s="12" t="s">
        <v>1345</v>
      </c>
      <c r="C519" s="12" t="s">
        <v>2096</v>
      </c>
      <c r="D519" s="12" t="s">
        <v>2097</v>
      </c>
      <c r="E519" s="12" t="n">
        <v>79</v>
      </c>
      <c r="F519" s="12" t="n">
        <v>11</v>
      </c>
      <c r="G519" s="15" t="n">
        <v>59300</v>
      </c>
      <c r="H519" s="15" t="n">
        <v>66500</v>
      </c>
      <c r="I519" s="12" t="s">
        <v>3518</v>
      </c>
      <c r="J519" s="17" t="n">
        <v>46383</v>
      </c>
      <c r="K519" s="12" t="s">
        <v>1120</v>
      </c>
      <c r="L519" s="12" t="n">
        <v>55</v>
      </c>
      <c r="M519" s="15" t="n">
        <f aca="false">E519*G519</f>
        <v>4684700</v>
      </c>
      <c r="N519" s="15" t="n">
        <f aca="false">E519*H519</f>
        <v>5253500</v>
      </c>
      <c r="O519" s="18" t="n">
        <f aca="false">IF(H519=0,"",(H519-G519)/H519)</f>
        <v>0.108270676691729</v>
      </c>
      <c r="P519" s="12" t="n">
        <f aca="false">IF(J519="","",J519-README!$C$4)</f>
        <v>61</v>
      </c>
      <c r="Q519" s="12" t="str">
        <f aca="false">IF(E519=0,"Out of stock",IF(E519&lt;=F519,"Low stock","OK"))</f>
        <v>OK</v>
      </c>
      <c r="R519" s="12" t="str">
        <f aca="false">IF(J519="","No expiry",IF(P519&lt;0,"Expired",IF(P519&lt;=30,"Expiring &lt;=30 days","OK")))</f>
        <v>OK</v>
      </c>
      <c r="S519" s="12"/>
    </row>
    <row r="520" customFormat="false" ht="15" hidden="false" customHeight="false" outlineLevel="0" collapsed="false">
      <c r="A520" s="12" t="s">
        <v>3519</v>
      </c>
      <c r="B520" s="12" t="s">
        <v>1345</v>
      </c>
      <c r="C520" s="12" t="s">
        <v>2099</v>
      </c>
      <c r="D520" s="12" t="s">
        <v>2100</v>
      </c>
      <c r="E520" s="12" t="n">
        <v>61</v>
      </c>
      <c r="F520" s="12" t="n">
        <v>11</v>
      </c>
      <c r="G520" s="15" t="n">
        <v>26900</v>
      </c>
      <c r="H520" s="15" t="n">
        <v>33000</v>
      </c>
      <c r="I520" s="12" t="s">
        <v>3520</v>
      </c>
      <c r="J520" s="17" t="n">
        <v>46366</v>
      </c>
      <c r="K520" s="12" t="s">
        <v>1120</v>
      </c>
      <c r="L520" s="12" t="n">
        <v>42</v>
      </c>
      <c r="M520" s="15" t="n">
        <f aca="false">E520*G520</f>
        <v>1640900</v>
      </c>
      <c r="N520" s="15" t="n">
        <f aca="false">E520*H520</f>
        <v>2013000</v>
      </c>
      <c r="O520" s="18" t="n">
        <f aca="false">IF(H520=0,"",(H520-G520)/H520)</f>
        <v>0.184848484848485</v>
      </c>
      <c r="P520" s="12" t="n">
        <f aca="false">IF(J520="","",J520-README!$C$4)</f>
        <v>44</v>
      </c>
      <c r="Q520" s="12" t="str">
        <f aca="false">IF(E520=0,"Out of stock",IF(E520&lt;=F520,"Low stock","OK"))</f>
        <v>OK</v>
      </c>
      <c r="R520" s="12" t="str">
        <f aca="false">IF(J520="","No expiry",IF(P520&lt;0,"Expired",IF(P520&lt;=30,"Expiring &lt;=30 days","OK")))</f>
        <v>OK</v>
      </c>
      <c r="S520" s="12"/>
    </row>
    <row r="521" customFormat="false" ht="15" hidden="false" customHeight="false" outlineLevel="0" collapsed="false">
      <c r="A521" s="12" t="s">
        <v>3521</v>
      </c>
      <c r="B521" s="12" t="s">
        <v>1345</v>
      </c>
      <c r="C521" s="12" t="s">
        <v>2102</v>
      </c>
      <c r="D521" s="12" t="s">
        <v>2103</v>
      </c>
      <c r="E521" s="12" t="n">
        <v>61</v>
      </c>
      <c r="F521" s="12" t="n">
        <v>11</v>
      </c>
      <c r="G521" s="15" t="n">
        <v>57500</v>
      </c>
      <c r="H521" s="15" t="n">
        <v>64000</v>
      </c>
      <c r="I521" s="12" t="s">
        <v>3522</v>
      </c>
      <c r="J521" s="17" t="n">
        <v>46447</v>
      </c>
      <c r="K521" s="12" t="s">
        <v>1120</v>
      </c>
      <c r="L521" s="12" t="n">
        <v>42</v>
      </c>
      <c r="M521" s="15" t="n">
        <f aca="false">E521*G521</f>
        <v>3507500</v>
      </c>
      <c r="N521" s="15" t="n">
        <f aca="false">E521*H521</f>
        <v>3904000</v>
      </c>
      <c r="O521" s="18" t="n">
        <f aca="false">IF(H521=0,"",(H521-G521)/H521)</f>
        <v>0.1015625</v>
      </c>
      <c r="P521" s="12" t="n">
        <f aca="false">IF(J521="","",J521-README!$C$4)</f>
        <v>125</v>
      </c>
      <c r="Q521" s="12" t="str">
        <f aca="false">IF(E521=0,"Out of stock",IF(E521&lt;=F521,"Low stock","OK"))</f>
        <v>OK</v>
      </c>
      <c r="R521" s="12" t="str">
        <f aca="false">IF(J521="","No expiry",IF(P521&lt;0,"Expired",IF(P521&lt;=30,"Expiring &lt;=30 days","OK")))</f>
        <v>OK</v>
      </c>
      <c r="S521" s="12"/>
    </row>
    <row r="522" customFormat="false" ht="15" hidden="false" customHeight="false" outlineLevel="0" collapsed="false">
      <c r="A522" s="12" t="s">
        <v>3523</v>
      </c>
      <c r="B522" s="12" t="s">
        <v>1345</v>
      </c>
      <c r="C522" s="12" t="s">
        <v>2105</v>
      </c>
      <c r="D522" s="12" t="s">
        <v>2106</v>
      </c>
      <c r="E522" s="12" t="n">
        <v>74</v>
      </c>
      <c r="F522" s="12" t="n">
        <v>11</v>
      </c>
      <c r="G522" s="15" t="n">
        <v>50500</v>
      </c>
      <c r="H522" s="15" t="n">
        <v>62000</v>
      </c>
      <c r="I522" s="12" t="s">
        <v>3524</v>
      </c>
      <c r="J522" s="17" t="n">
        <v>46415</v>
      </c>
      <c r="K522" s="12" t="s">
        <v>1120</v>
      </c>
      <c r="L522" s="12" t="n">
        <v>51</v>
      </c>
      <c r="M522" s="15" t="n">
        <f aca="false">E522*G522</f>
        <v>3737000</v>
      </c>
      <c r="N522" s="15" t="n">
        <f aca="false">E522*H522</f>
        <v>4588000</v>
      </c>
      <c r="O522" s="18" t="n">
        <f aca="false">IF(H522=0,"",(H522-G522)/H522)</f>
        <v>0.185483870967742</v>
      </c>
      <c r="P522" s="12" t="n">
        <f aca="false">IF(J522="","",J522-README!$C$4)</f>
        <v>93</v>
      </c>
      <c r="Q522" s="12" t="str">
        <f aca="false">IF(E522=0,"Out of stock",IF(E522&lt;=F522,"Low stock","OK"))</f>
        <v>OK</v>
      </c>
      <c r="R522" s="12" t="str">
        <f aca="false">IF(J522="","No expiry",IF(P522&lt;0,"Expired",IF(P522&lt;=30,"Expiring &lt;=30 days","OK")))</f>
        <v>OK</v>
      </c>
      <c r="S522" s="12"/>
    </row>
    <row r="523" customFormat="false" ht="15" hidden="false" customHeight="false" outlineLevel="0" collapsed="false">
      <c r="A523" s="12" t="s">
        <v>3525</v>
      </c>
      <c r="B523" s="12" t="s">
        <v>1345</v>
      </c>
      <c r="C523" s="12" t="s">
        <v>2117</v>
      </c>
      <c r="D523" s="12" t="s">
        <v>2118</v>
      </c>
      <c r="E523" s="12" t="n">
        <v>17</v>
      </c>
      <c r="F523" s="12" t="n">
        <v>11</v>
      </c>
      <c r="G523" s="15" t="n">
        <v>44400</v>
      </c>
      <c r="H523" s="15" t="n">
        <v>51500</v>
      </c>
      <c r="I523" s="12" t="s">
        <v>3526</v>
      </c>
      <c r="J523" s="17" t="n">
        <v>46419</v>
      </c>
      <c r="K523" s="12" t="s">
        <v>1120</v>
      </c>
      <c r="L523" s="12" t="n">
        <v>11</v>
      </c>
      <c r="M523" s="15" t="n">
        <f aca="false">E523*G523</f>
        <v>754800</v>
      </c>
      <c r="N523" s="15" t="n">
        <f aca="false">E523*H523</f>
        <v>875500</v>
      </c>
      <c r="O523" s="18" t="n">
        <f aca="false">IF(H523=0,"",(H523-G523)/H523)</f>
        <v>0.137864077669903</v>
      </c>
      <c r="P523" s="12" t="n">
        <f aca="false">IF(J523="","",J523-README!$C$4)</f>
        <v>97</v>
      </c>
      <c r="Q523" s="12" t="str">
        <f aca="false">IF(E523=0,"Out of stock",IF(E523&lt;=F523,"Low stock","OK"))</f>
        <v>OK</v>
      </c>
      <c r="R523" s="12" t="str">
        <f aca="false">IF(J523="","No expiry",IF(P523&lt;0,"Expired",IF(P523&lt;=30,"Expiring &lt;=30 days","OK")))</f>
        <v>OK</v>
      </c>
      <c r="S523" s="12"/>
    </row>
    <row r="524" customFormat="false" ht="15" hidden="false" customHeight="false" outlineLevel="0" collapsed="false">
      <c r="A524" s="12" t="s">
        <v>3527</v>
      </c>
      <c r="B524" s="12" t="s">
        <v>1345</v>
      </c>
      <c r="C524" s="12" t="s">
        <v>2120</v>
      </c>
      <c r="D524" s="12" t="s">
        <v>2122</v>
      </c>
      <c r="E524" s="12" t="n">
        <v>25</v>
      </c>
      <c r="F524" s="12" t="n">
        <v>11</v>
      </c>
      <c r="G524" s="15" t="n">
        <v>55900</v>
      </c>
      <c r="H524" s="15" t="n">
        <v>69500</v>
      </c>
      <c r="I524" s="12" t="s">
        <v>3528</v>
      </c>
      <c r="J524" s="17" t="n">
        <v>46375</v>
      </c>
      <c r="K524" s="12" t="s">
        <v>1120</v>
      </c>
      <c r="L524" s="12" t="n">
        <v>17</v>
      </c>
      <c r="M524" s="15" t="n">
        <f aca="false">E524*G524</f>
        <v>1397500</v>
      </c>
      <c r="N524" s="15" t="n">
        <f aca="false">E524*H524</f>
        <v>1737500</v>
      </c>
      <c r="O524" s="18" t="n">
        <f aca="false">IF(H524=0,"",(H524-G524)/H524)</f>
        <v>0.19568345323741</v>
      </c>
      <c r="P524" s="12" t="n">
        <f aca="false">IF(J524="","",J524-README!$C$4)</f>
        <v>53</v>
      </c>
      <c r="Q524" s="12" t="str">
        <f aca="false">IF(E524=0,"Out of stock",IF(E524&lt;=F524,"Low stock","OK"))</f>
        <v>OK</v>
      </c>
      <c r="R524" s="12" t="str">
        <f aca="false">IF(J524="","No expiry",IF(P524&lt;0,"Expired",IF(P524&lt;=30,"Expiring &lt;=30 days","OK")))</f>
        <v>OK</v>
      </c>
      <c r="S524" s="12"/>
    </row>
    <row r="525" customFormat="false" ht="15" hidden="false" customHeight="false" outlineLevel="0" collapsed="false">
      <c r="A525" s="12" t="s">
        <v>3529</v>
      </c>
      <c r="B525" s="12" t="s">
        <v>1345</v>
      </c>
      <c r="C525" s="12" t="s">
        <v>2127</v>
      </c>
      <c r="D525" s="12" t="s">
        <v>2128</v>
      </c>
      <c r="E525" s="12" t="n">
        <v>16</v>
      </c>
      <c r="F525" s="12" t="n">
        <v>11</v>
      </c>
      <c r="G525" s="15" t="n">
        <v>42300</v>
      </c>
      <c r="H525" s="15" t="n">
        <v>48000</v>
      </c>
      <c r="I525" s="12" t="s">
        <v>3530</v>
      </c>
      <c r="J525" s="17" t="n">
        <v>46435</v>
      </c>
      <c r="K525" s="12" t="s">
        <v>1120</v>
      </c>
      <c r="L525" s="12" t="n">
        <v>11</v>
      </c>
      <c r="M525" s="15" t="n">
        <f aca="false">E525*G525</f>
        <v>676800</v>
      </c>
      <c r="N525" s="15" t="n">
        <f aca="false">E525*H525</f>
        <v>768000</v>
      </c>
      <c r="O525" s="18" t="n">
        <f aca="false">IF(H525=0,"",(H525-G525)/H525)</f>
        <v>0.11875</v>
      </c>
      <c r="P525" s="12" t="n">
        <f aca="false">IF(J525="","",J525-README!$C$4)</f>
        <v>113</v>
      </c>
      <c r="Q525" s="12" t="str">
        <f aca="false">IF(E525=0,"Out of stock",IF(E525&lt;=F525,"Low stock","OK"))</f>
        <v>OK</v>
      </c>
      <c r="R525" s="12" t="str">
        <f aca="false">IF(J525="","No expiry",IF(P525&lt;0,"Expired",IF(P525&lt;=30,"Expiring &lt;=30 days","OK")))</f>
        <v>OK</v>
      </c>
      <c r="S525" s="12"/>
    </row>
    <row r="526" customFormat="false" ht="15" hidden="false" customHeight="false" outlineLevel="0" collapsed="false">
      <c r="A526" s="12" t="s">
        <v>3531</v>
      </c>
      <c r="B526" s="12" t="s">
        <v>1345</v>
      </c>
      <c r="C526" s="12" t="s">
        <v>2130</v>
      </c>
      <c r="D526" s="12" t="s">
        <v>2131</v>
      </c>
      <c r="E526" s="12" t="n">
        <v>27</v>
      </c>
      <c r="F526" s="12" t="n">
        <v>11</v>
      </c>
      <c r="G526" s="15" t="n">
        <v>75700</v>
      </c>
      <c r="H526" s="15" t="n">
        <v>92000</v>
      </c>
      <c r="I526" s="12" t="s">
        <v>3532</v>
      </c>
      <c r="J526" s="17" t="n">
        <v>46366</v>
      </c>
      <c r="K526" s="12" t="s">
        <v>1120</v>
      </c>
      <c r="L526" s="12" t="n">
        <v>18</v>
      </c>
      <c r="M526" s="15" t="n">
        <f aca="false">E526*G526</f>
        <v>2043900</v>
      </c>
      <c r="N526" s="15" t="n">
        <f aca="false">E526*H526</f>
        <v>2484000</v>
      </c>
      <c r="O526" s="18" t="n">
        <f aca="false">IF(H526=0,"",(H526-G526)/H526)</f>
        <v>0.177173913043478</v>
      </c>
      <c r="P526" s="12" t="n">
        <f aca="false">IF(J526="","",J526-README!$C$4)</f>
        <v>44</v>
      </c>
      <c r="Q526" s="12" t="str">
        <f aca="false">IF(E526=0,"Out of stock",IF(E526&lt;=F526,"Low stock","OK"))</f>
        <v>OK</v>
      </c>
      <c r="R526" s="12" t="str">
        <f aca="false">IF(J526="","No expiry",IF(P526&lt;0,"Expired",IF(P526&lt;=30,"Expiring &lt;=30 days","OK")))</f>
        <v>OK</v>
      </c>
      <c r="S526" s="12"/>
    </row>
    <row r="527" customFormat="false" ht="15" hidden="false" customHeight="false" outlineLevel="0" collapsed="false">
      <c r="A527" s="12" t="s">
        <v>3533</v>
      </c>
      <c r="B527" s="12" t="s">
        <v>1345</v>
      </c>
      <c r="C527" s="12" t="s">
        <v>2133</v>
      </c>
      <c r="D527" s="12" t="s">
        <v>2134</v>
      </c>
      <c r="E527" s="12" t="n">
        <v>3</v>
      </c>
      <c r="F527" s="12" t="n">
        <v>10</v>
      </c>
      <c r="G527" s="15" t="n">
        <v>67600</v>
      </c>
      <c r="H527" s="15" t="n">
        <v>79500</v>
      </c>
      <c r="I527" s="12" t="s">
        <v>3534</v>
      </c>
      <c r="J527" s="17" t="n">
        <v>46372</v>
      </c>
      <c r="K527" s="12" t="s">
        <v>1120</v>
      </c>
      <c r="L527" s="12" t="n">
        <v>2</v>
      </c>
      <c r="M527" s="15" t="n">
        <f aca="false">E527*G527</f>
        <v>202800</v>
      </c>
      <c r="N527" s="15" t="n">
        <f aca="false">E527*H527</f>
        <v>238500</v>
      </c>
      <c r="O527" s="18" t="n">
        <f aca="false">IF(H527=0,"",(H527-G527)/H527)</f>
        <v>0.149685534591195</v>
      </c>
      <c r="P527" s="12" t="n">
        <f aca="false">IF(J527="","",J527-README!$C$4)</f>
        <v>50</v>
      </c>
      <c r="Q527" s="12" t="str">
        <f aca="false">IF(E527=0,"Out of stock",IF(E527&lt;=F527,"Low stock","OK"))</f>
        <v>Low stock</v>
      </c>
      <c r="R527" s="12" t="str">
        <f aca="false">IF(J527="","No expiry",IF(P527&lt;0,"Expired",IF(P527&lt;=30,"Expiring &lt;=30 days","OK")))</f>
        <v>OK</v>
      </c>
      <c r="S527" s="19" t="s">
        <v>2606</v>
      </c>
    </row>
    <row r="528" customFormat="false" ht="15" hidden="false" customHeight="false" outlineLevel="0" collapsed="false">
      <c r="A528" s="12" t="s">
        <v>3535</v>
      </c>
      <c r="B528" s="12" t="s">
        <v>1345</v>
      </c>
      <c r="C528" s="12" t="s">
        <v>2136</v>
      </c>
      <c r="D528" s="12" t="s">
        <v>2137</v>
      </c>
      <c r="E528" s="12" t="n">
        <v>25</v>
      </c>
      <c r="F528" s="12" t="n">
        <v>11</v>
      </c>
      <c r="G528" s="15" t="n">
        <v>79400</v>
      </c>
      <c r="H528" s="15" t="n">
        <v>95000</v>
      </c>
      <c r="I528" s="12" t="s">
        <v>3536</v>
      </c>
      <c r="J528" s="17" t="n">
        <v>46355</v>
      </c>
      <c r="K528" s="12" t="s">
        <v>1111</v>
      </c>
      <c r="L528" s="12" t="n">
        <v>0</v>
      </c>
      <c r="M528" s="15" t="n">
        <f aca="false">E528*G528</f>
        <v>1985000</v>
      </c>
      <c r="N528" s="15" t="n">
        <f aca="false">E528*H528</f>
        <v>2375000</v>
      </c>
      <c r="O528" s="18" t="n">
        <f aca="false">IF(H528=0,"",(H528-G528)/H528)</f>
        <v>0.164210526315789</v>
      </c>
      <c r="P528" s="12" t="n">
        <f aca="false">IF(J528="","",J528-README!$C$4)</f>
        <v>33</v>
      </c>
      <c r="Q528" s="12" t="str">
        <f aca="false">IF(E528=0,"Out of stock",IF(E528&lt;=F528,"Low stock","OK"))</f>
        <v>OK</v>
      </c>
      <c r="R528" s="12" t="str">
        <f aca="false">IF(J528="","No expiry",IF(P528&lt;0,"Expired",IF(P528&lt;=30,"Expiring &lt;=30 days","OK")))</f>
        <v>OK</v>
      </c>
      <c r="S528" s="12"/>
    </row>
    <row r="529" customFormat="false" ht="15" hidden="false" customHeight="false" outlineLevel="0" collapsed="false">
      <c r="A529" s="12" t="s">
        <v>3537</v>
      </c>
      <c r="B529" s="12" t="s">
        <v>1345</v>
      </c>
      <c r="C529" s="12" t="s">
        <v>2139</v>
      </c>
      <c r="D529" s="12" t="s">
        <v>2140</v>
      </c>
      <c r="E529" s="12" t="n">
        <v>54</v>
      </c>
      <c r="F529" s="12" t="n">
        <v>11</v>
      </c>
      <c r="G529" s="15" t="n">
        <v>36300</v>
      </c>
      <c r="H529" s="15" t="n">
        <v>40500</v>
      </c>
      <c r="I529" s="12" t="s">
        <v>3538</v>
      </c>
      <c r="J529" s="17" t="n">
        <v>46402</v>
      </c>
      <c r="K529" s="12" t="s">
        <v>1120</v>
      </c>
      <c r="L529" s="12" t="n">
        <v>37</v>
      </c>
      <c r="M529" s="15" t="n">
        <f aca="false">E529*G529</f>
        <v>1960200</v>
      </c>
      <c r="N529" s="15" t="n">
        <f aca="false">E529*H529</f>
        <v>2187000</v>
      </c>
      <c r="O529" s="18" t="n">
        <f aca="false">IF(H529=0,"",(H529-G529)/H529)</f>
        <v>0.103703703703704</v>
      </c>
      <c r="P529" s="12" t="n">
        <f aca="false">IF(J529="","",J529-README!$C$4)</f>
        <v>80</v>
      </c>
      <c r="Q529" s="12" t="str">
        <f aca="false">IF(E529=0,"Out of stock",IF(E529&lt;=F529,"Low stock","OK"))</f>
        <v>OK</v>
      </c>
      <c r="R529" s="12" t="str">
        <f aca="false">IF(J529="","No expiry",IF(P529&lt;0,"Expired",IF(P529&lt;=30,"Expiring &lt;=30 days","OK")))</f>
        <v>OK</v>
      </c>
      <c r="S529" s="12"/>
    </row>
    <row r="530" customFormat="false" ht="15" hidden="false" customHeight="false" outlineLevel="0" collapsed="false">
      <c r="A530" s="12" t="s">
        <v>3539</v>
      </c>
      <c r="B530" s="12" t="s">
        <v>1345</v>
      </c>
      <c r="C530" s="12" t="s">
        <v>2148</v>
      </c>
      <c r="D530" s="12" t="s">
        <v>2149</v>
      </c>
      <c r="E530" s="12" t="n">
        <v>72</v>
      </c>
      <c r="F530" s="12" t="n">
        <v>11</v>
      </c>
      <c r="G530" s="15" t="n">
        <v>95000</v>
      </c>
      <c r="H530" s="15" t="n">
        <v>112500</v>
      </c>
      <c r="I530" s="12" t="s">
        <v>3540</v>
      </c>
      <c r="J530" s="17" t="n">
        <v>46454</v>
      </c>
      <c r="K530" s="12" t="s">
        <v>1120</v>
      </c>
      <c r="L530" s="12" t="n">
        <v>50</v>
      </c>
      <c r="M530" s="15" t="n">
        <f aca="false">E530*G530</f>
        <v>6840000</v>
      </c>
      <c r="N530" s="15" t="n">
        <f aca="false">E530*H530</f>
        <v>8100000</v>
      </c>
      <c r="O530" s="18" t="n">
        <f aca="false">IF(H530=0,"",(H530-G530)/H530)</f>
        <v>0.155555555555556</v>
      </c>
      <c r="P530" s="12" t="n">
        <f aca="false">IF(J530="","",J530-README!$C$4)</f>
        <v>132</v>
      </c>
      <c r="Q530" s="12" t="str">
        <f aca="false">IF(E530=0,"Out of stock",IF(E530&lt;=F530,"Low stock","OK"))</f>
        <v>OK</v>
      </c>
      <c r="R530" s="12" t="str">
        <f aca="false">IF(J530="","No expiry",IF(P530&lt;0,"Expired",IF(P530&lt;=30,"Expiring &lt;=30 days","OK")))</f>
        <v>OK</v>
      </c>
      <c r="S530" s="12"/>
    </row>
    <row r="531" customFormat="false" ht="15" hidden="false" customHeight="false" outlineLevel="0" collapsed="false">
      <c r="A531" s="12" t="s">
        <v>3541</v>
      </c>
      <c r="B531" s="12" t="s">
        <v>1345</v>
      </c>
      <c r="C531" s="12" t="s">
        <v>2151</v>
      </c>
      <c r="D531" s="12" t="s">
        <v>2152</v>
      </c>
      <c r="E531" s="12" t="n">
        <v>18</v>
      </c>
      <c r="F531" s="12" t="n">
        <v>11</v>
      </c>
      <c r="G531" s="15" t="n">
        <v>83400</v>
      </c>
      <c r="H531" s="15" t="n">
        <v>98500</v>
      </c>
      <c r="I531" s="12" t="s">
        <v>3542</v>
      </c>
      <c r="J531" s="17" t="n">
        <v>46388</v>
      </c>
      <c r="K531" s="12" t="s">
        <v>1120</v>
      </c>
      <c r="L531" s="12" t="n">
        <v>12</v>
      </c>
      <c r="M531" s="15" t="n">
        <f aca="false">E531*G531</f>
        <v>1501200</v>
      </c>
      <c r="N531" s="15" t="n">
        <f aca="false">E531*H531</f>
        <v>1773000</v>
      </c>
      <c r="O531" s="18" t="n">
        <f aca="false">IF(H531=0,"",(H531-G531)/H531)</f>
        <v>0.153299492385787</v>
      </c>
      <c r="P531" s="12" t="n">
        <f aca="false">IF(J531="","",J531-README!$C$4)</f>
        <v>66</v>
      </c>
      <c r="Q531" s="12" t="str">
        <f aca="false">IF(E531=0,"Out of stock",IF(E531&lt;=F531,"Low stock","OK"))</f>
        <v>OK</v>
      </c>
      <c r="R531" s="12" t="str">
        <f aca="false">IF(J531="","No expiry",IF(P531&lt;0,"Expired",IF(P531&lt;=30,"Expiring &lt;=30 days","OK")))</f>
        <v>OK</v>
      </c>
      <c r="S531" s="12"/>
    </row>
    <row r="532" customFormat="false" ht="15" hidden="false" customHeight="false" outlineLevel="0" collapsed="false">
      <c r="A532" s="12" t="s">
        <v>3543</v>
      </c>
      <c r="B532" s="12" t="s">
        <v>1345</v>
      </c>
      <c r="C532" s="12" t="s">
        <v>2165</v>
      </c>
      <c r="D532" s="12" t="s">
        <v>2166</v>
      </c>
      <c r="E532" s="12" t="n">
        <v>51</v>
      </c>
      <c r="F532" s="12" t="n">
        <v>8</v>
      </c>
      <c r="G532" s="15" t="n">
        <v>7400</v>
      </c>
      <c r="H532" s="15" t="n">
        <v>9100</v>
      </c>
      <c r="I532" s="12" t="s">
        <v>3544</v>
      </c>
      <c r="J532" s="17" t="n">
        <v>46467</v>
      </c>
      <c r="K532" s="12" t="s">
        <v>1120</v>
      </c>
      <c r="L532" s="12" t="n">
        <v>35</v>
      </c>
      <c r="M532" s="15" t="n">
        <f aca="false">E532*G532</f>
        <v>377400</v>
      </c>
      <c r="N532" s="15" t="n">
        <f aca="false">E532*H532</f>
        <v>464100</v>
      </c>
      <c r="O532" s="18" t="n">
        <f aca="false">IF(H532=0,"",(H532-G532)/H532)</f>
        <v>0.186813186813187</v>
      </c>
      <c r="P532" s="12" t="n">
        <f aca="false">IF(J532="","",J532-README!$C$4)</f>
        <v>145</v>
      </c>
      <c r="Q532" s="12" t="str">
        <f aca="false">IF(E532=0,"Out of stock",IF(E532&lt;=F532,"Low stock","OK"))</f>
        <v>OK</v>
      </c>
      <c r="R532" s="12" t="str">
        <f aca="false">IF(J532="","No expiry",IF(P532&lt;0,"Expired",IF(P532&lt;=30,"Expiring &lt;=30 days","OK")))</f>
        <v>OK</v>
      </c>
      <c r="S532" s="12"/>
    </row>
    <row r="533" customFormat="false" ht="15" hidden="false" customHeight="false" outlineLevel="0" collapsed="false">
      <c r="A533" s="12" t="s">
        <v>3545</v>
      </c>
      <c r="B533" s="12" t="s">
        <v>1345</v>
      </c>
      <c r="C533" s="12" t="s">
        <v>2168</v>
      </c>
      <c r="D533" s="12" t="s">
        <v>2169</v>
      </c>
      <c r="E533" s="12" t="n">
        <v>78</v>
      </c>
      <c r="F533" s="12" t="n">
        <v>11</v>
      </c>
      <c r="G533" s="15" t="n">
        <v>36100</v>
      </c>
      <c r="H533" s="15" t="n">
        <v>43000</v>
      </c>
      <c r="I533" s="12" t="s">
        <v>3546</v>
      </c>
      <c r="J533" s="17" t="n">
        <v>46505</v>
      </c>
      <c r="K533" s="12" t="s">
        <v>1120</v>
      </c>
      <c r="L533" s="12" t="n">
        <v>54</v>
      </c>
      <c r="M533" s="15" t="n">
        <f aca="false">E533*G533</f>
        <v>2815800</v>
      </c>
      <c r="N533" s="15" t="n">
        <f aca="false">E533*H533</f>
        <v>3354000</v>
      </c>
      <c r="O533" s="18" t="n">
        <f aca="false">IF(H533=0,"",(H533-G533)/H533)</f>
        <v>0.16046511627907</v>
      </c>
      <c r="P533" s="12" t="n">
        <f aca="false">IF(J533="","",J533-README!$C$4)</f>
        <v>183</v>
      </c>
      <c r="Q533" s="12" t="str">
        <f aca="false">IF(E533=0,"Out of stock",IF(E533&lt;=F533,"Low stock","OK"))</f>
        <v>OK</v>
      </c>
      <c r="R533" s="12" t="str">
        <f aca="false">IF(J533="","No expiry",IF(P533&lt;0,"Expired",IF(P533&lt;=30,"Expiring &lt;=30 days","OK")))</f>
        <v>OK</v>
      </c>
      <c r="S533" s="12"/>
    </row>
    <row r="534" customFormat="false" ht="15" hidden="false" customHeight="false" outlineLevel="0" collapsed="false">
      <c r="A534" s="12" t="s">
        <v>3547</v>
      </c>
      <c r="B534" s="12" t="s">
        <v>1345</v>
      </c>
      <c r="C534" s="12" t="s">
        <v>2177</v>
      </c>
      <c r="D534" s="12" t="s">
        <v>2178</v>
      </c>
      <c r="E534" s="12" t="n">
        <v>64</v>
      </c>
      <c r="F534" s="12" t="n">
        <v>11</v>
      </c>
      <c r="G534" s="15" t="n">
        <v>16800</v>
      </c>
      <c r="H534" s="15" t="n">
        <v>19500</v>
      </c>
      <c r="I534" s="12" t="s">
        <v>3548</v>
      </c>
      <c r="J534" s="17" t="n">
        <v>46445</v>
      </c>
      <c r="K534" s="12" t="s">
        <v>1120</v>
      </c>
      <c r="L534" s="12" t="n">
        <v>44</v>
      </c>
      <c r="M534" s="15" t="n">
        <f aca="false">E534*G534</f>
        <v>1075200</v>
      </c>
      <c r="N534" s="15" t="n">
        <f aca="false">E534*H534</f>
        <v>1248000</v>
      </c>
      <c r="O534" s="18" t="n">
        <f aca="false">IF(H534=0,"",(H534-G534)/H534)</f>
        <v>0.138461538461538</v>
      </c>
      <c r="P534" s="12" t="n">
        <f aca="false">IF(J534="","",J534-README!$C$4)</f>
        <v>123</v>
      </c>
      <c r="Q534" s="12" t="str">
        <f aca="false">IF(E534=0,"Out of stock",IF(E534&lt;=F534,"Low stock","OK"))</f>
        <v>OK</v>
      </c>
      <c r="R534" s="12" t="str">
        <f aca="false">IF(J534="","No expiry",IF(P534&lt;0,"Expired",IF(P534&lt;=30,"Expiring &lt;=30 days","OK")))</f>
        <v>OK</v>
      </c>
      <c r="S534" s="12"/>
    </row>
    <row r="535" customFormat="false" ht="15" hidden="false" customHeight="false" outlineLevel="0" collapsed="false">
      <c r="A535" s="12" t="s">
        <v>3549</v>
      </c>
      <c r="B535" s="12" t="s">
        <v>1345</v>
      </c>
      <c r="C535" s="12" t="s">
        <v>2180</v>
      </c>
      <c r="D535" s="12" t="s">
        <v>2181</v>
      </c>
      <c r="E535" s="12" t="n">
        <v>70</v>
      </c>
      <c r="F535" s="12" t="n">
        <v>11</v>
      </c>
      <c r="G535" s="15" t="n">
        <v>35100</v>
      </c>
      <c r="H535" s="15" t="n">
        <v>40500</v>
      </c>
      <c r="I535" s="12" t="s">
        <v>3550</v>
      </c>
      <c r="J535" s="17" t="n">
        <v>46409</v>
      </c>
      <c r="K535" s="12" t="s">
        <v>1120</v>
      </c>
      <c r="L535" s="12" t="n">
        <v>49</v>
      </c>
      <c r="M535" s="15" t="n">
        <f aca="false">E535*G535</f>
        <v>2457000</v>
      </c>
      <c r="N535" s="15" t="n">
        <f aca="false">E535*H535</f>
        <v>2835000</v>
      </c>
      <c r="O535" s="18" t="n">
        <f aca="false">IF(H535=0,"",(H535-G535)/H535)</f>
        <v>0.133333333333333</v>
      </c>
      <c r="P535" s="12" t="n">
        <f aca="false">IF(J535="","",J535-README!$C$4)</f>
        <v>87</v>
      </c>
      <c r="Q535" s="12" t="str">
        <f aca="false">IF(E535=0,"Out of stock",IF(E535&lt;=F535,"Low stock","OK"))</f>
        <v>OK</v>
      </c>
      <c r="R535" s="12" t="str">
        <f aca="false">IF(J535="","No expiry",IF(P535&lt;0,"Expired",IF(P535&lt;=30,"Expiring &lt;=30 days","OK")))</f>
        <v>OK</v>
      </c>
      <c r="S535" s="12"/>
    </row>
    <row r="536" customFormat="false" ht="15" hidden="false" customHeight="false" outlineLevel="0" collapsed="false">
      <c r="A536" s="12" t="s">
        <v>3551</v>
      </c>
      <c r="B536" s="12" t="s">
        <v>1345</v>
      </c>
      <c r="C536" s="12" t="s">
        <v>2183</v>
      </c>
      <c r="D536" s="12" t="s">
        <v>2184</v>
      </c>
      <c r="E536" s="12" t="n">
        <v>71</v>
      </c>
      <c r="F536" s="12" t="n">
        <v>11</v>
      </c>
      <c r="G536" s="15" t="n">
        <v>92400</v>
      </c>
      <c r="H536" s="15" t="n">
        <v>112500</v>
      </c>
      <c r="I536" s="12" t="s">
        <v>3552</v>
      </c>
      <c r="J536" s="17" t="n">
        <v>46419</v>
      </c>
      <c r="K536" s="12" t="s">
        <v>1120</v>
      </c>
      <c r="L536" s="12" t="n">
        <v>49</v>
      </c>
      <c r="M536" s="15" t="n">
        <f aca="false">E536*G536</f>
        <v>6560400</v>
      </c>
      <c r="N536" s="15" t="n">
        <f aca="false">E536*H536</f>
        <v>7987500</v>
      </c>
      <c r="O536" s="18" t="n">
        <f aca="false">IF(H536=0,"",(H536-G536)/H536)</f>
        <v>0.178666666666667</v>
      </c>
      <c r="P536" s="12" t="n">
        <f aca="false">IF(J536="","",J536-README!$C$4)</f>
        <v>97</v>
      </c>
      <c r="Q536" s="12" t="str">
        <f aca="false">IF(E536=0,"Out of stock",IF(E536&lt;=F536,"Low stock","OK"))</f>
        <v>OK</v>
      </c>
      <c r="R536" s="12" t="str">
        <f aca="false">IF(J536="","No expiry",IF(P536&lt;0,"Expired",IF(P536&lt;=30,"Expiring &lt;=30 days","OK")))</f>
        <v>OK</v>
      </c>
      <c r="S536" s="12"/>
    </row>
    <row r="537" customFormat="false" ht="15" hidden="false" customHeight="false" outlineLevel="0" collapsed="false">
      <c r="A537" s="12" t="s">
        <v>3553</v>
      </c>
      <c r="B537" s="12" t="s">
        <v>1345</v>
      </c>
      <c r="C537" s="12" t="s">
        <v>2186</v>
      </c>
      <c r="D537" s="12" t="s">
        <v>2187</v>
      </c>
      <c r="E537" s="12" t="n">
        <v>61</v>
      </c>
      <c r="F537" s="12" t="n">
        <v>11</v>
      </c>
      <c r="G537" s="15" t="n">
        <v>57700</v>
      </c>
      <c r="H537" s="15" t="n">
        <v>66500</v>
      </c>
      <c r="I537" s="12" t="s">
        <v>3554</v>
      </c>
      <c r="J537" s="17" t="n">
        <v>46410</v>
      </c>
      <c r="K537" s="12" t="s">
        <v>1111</v>
      </c>
      <c r="L537" s="12" t="n">
        <v>0</v>
      </c>
      <c r="M537" s="15" t="n">
        <f aca="false">E537*G537</f>
        <v>3519700</v>
      </c>
      <c r="N537" s="15" t="n">
        <f aca="false">E537*H537</f>
        <v>4056500</v>
      </c>
      <c r="O537" s="18" t="n">
        <f aca="false">IF(H537=0,"",(H537-G537)/H537)</f>
        <v>0.132330827067669</v>
      </c>
      <c r="P537" s="12" t="n">
        <f aca="false">IF(J537="","",J537-README!$C$4)</f>
        <v>88</v>
      </c>
      <c r="Q537" s="12" t="str">
        <f aca="false">IF(E537=0,"Out of stock",IF(E537&lt;=F537,"Low stock","OK"))</f>
        <v>OK</v>
      </c>
      <c r="R537" s="12" t="str">
        <f aca="false">IF(J537="","No expiry",IF(P537&lt;0,"Expired",IF(P537&lt;=30,"Expiring &lt;=30 days","OK")))</f>
        <v>OK</v>
      </c>
      <c r="S537" s="12"/>
    </row>
    <row r="538" customFormat="false" ht="15" hidden="false" customHeight="false" outlineLevel="0" collapsed="false">
      <c r="A538" s="12" t="s">
        <v>3555</v>
      </c>
      <c r="B538" s="12" t="s">
        <v>1345</v>
      </c>
      <c r="C538" s="12" t="s">
        <v>2189</v>
      </c>
      <c r="D538" s="12" t="s">
        <v>2190</v>
      </c>
      <c r="E538" s="12" t="n">
        <v>67</v>
      </c>
      <c r="F538" s="12" t="n">
        <v>11</v>
      </c>
      <c r="G538" s="15" t="n">
        <v>115000</v>
      </c>
      <c r="H538" s="15" t="n">
        <v>128500</v>
      </c>
      <c r="I538" s="12" t="s">
        <v>3556</v>
      </c>
      <c r="J538" s="17" t="n">
        <v>46437</v>
      </c>
      <c r="K538" s="12" t="s">
        <v>1120</v>
      </c>
      <c r="L538" s="12" t="n">
        <v>46</v>
      </c>
      <c r="M538" s="15" t="n">
        <f aca="false">E538*G538</f>
        <v>7705000</v>
      </c>
      <c r="N538" s="15" t="n">
        <f aca="false">E538*H538</f>
        <v>8609500</v>
      </c>
      <c r="O538" s="18" t="n">
        <f aca="false">IF(H538=0,"",(H538-G538)/H538)</f>
        <v>0.105058365758755</v>
      </c>
      <c r="P538" s="12" t="n">
        <f aca="false">IF(J538="","",J538-README!$C$4)</f>
        <v>115</v>
      </c>
      <c r="Q538" s="12" t="str">
        <f aca="false">IF(E538=0,"Out of stock",IF(E538&lt;=F538,"Low stock","OK"))</f>
        <v>OK</v>
      </c>
      <c r="R538" s="12" t="str">
        <f aca="false">IF(J538="","No expiry",IF(P538&lt;0,"Expired",IF(P538&lt;=30,"Expiring &lt;=30 days","OK")))</f>
        <v>OK</v>
      </c>
      <c r="S538" s="12"/>
    </row>
    <row r="539" customFormat="false" ht="15" hidden="false" customHeight="false" outlineLevel="0" collapsed="false">
      <c r="A539" s="12" t="s">
        <v>3557</v>
      </c>
      <c r="B539" s="12" t="s">
        <v>1345</v>
      </c>
      <c r="C539" s="12" t="s">
        <v>2192</v>
      </c>
      <c r="D539" s="12" t="s">
        <v>2193</v>
      </c>
      <c r="E539" s="12" t="n">
        <v>42</v>
      </c>
      <c r="F539" s="12" t="n">
        <v>11</v>
      </c>
      <c r="G539" s="15" t="n">
        <v>14400</v>
      </c>
      <c r="H539" s="15" t="n">
        <v>16000</v>
      </c>
      <c r="I539" s="12" t="s">
        <v>3558</v>
      </c>
      <c r="J539" s="17" t="n">
        <v>46401</v>
      </c>
      <c r="K539" s="12" t="s">
        <v>1120</v>
      </c>
      <c r="L539" s="12" t="n">
        <v>29</v>
      </c>
      <c r="M539" s="15" t="n">
        <f aca="false">E539*G539</f>
        <v>604800</v>
      </c>
      <c r="N539" s="15" t="n">
        <f aca="false">E539*H539</f>
        <v>672000</v>
      </c>
      <c r="O539" s="18" t="n">
        <f aca="false">IF(H539=0,"",(H539-G539)/H539)</f>
        <v>0.1</v>
      </c>
      <c r="P539" s="12" t="n">
        <f aca="false">IF(J539="","",J539-README!$C$4)</f>
        <v>79</v>
      </c>
      <c r="Q539" s="12" t="str">
        <f aca="false">IF(E539=0,"Out of stock",IF(E539&lt;=F539,"Low stock","OK"))</f>
        <v>OK</v>
      </c>
      <c r="R539" s="12" t="str">
        <f aca="false">IF(J539="","No expiry",IF(P539&lt;0,"Expired",IF(P539&lt;=30,"Expiring &lt;=30 days","OK")))</f>
        <v>OK</v>
      </c>
      <c r="S539" s="12"/>
    </row>
    <row r="540" customFormat="false" ht="15" hidden="false" customHeight="false" outlineLevel="0" collapsed="false">
      <c r="A540" s="12" t="s">
        <v>3559</v>
      </c>
      <c r="B540" s="12" t="s">
        <v>1345</v>
      </c>
      <c r="C540" s="12" t="s">
        <v>2195</v>
      </c>
      <c r="D540" s="12" t="s">
        <v>2196</v>
      </c>
      <c r="E540" s="12" t="n">
        <v>64</v>
      </c>
      <c r="F540" s="12" t="n">
        <v>11</v>
      </c>
      <c r="G540" s="15" t="n">
        <v>71700</v>
      </c>
      <c r="H540" s="15" t="n">
        <v>80000</v>
      </c>
      <c r="I540" s="12" t="s">
        <v>3560</v>
      </c>
      <c r="J540" s="17" t="n">
        <v>46493</v>
      </c>
      <c r="K540" s="12" t="s">
        <v>1120</v>
      </c>
      <c r="L540" s="12" t="n">
        <v>44</v>
      </c>
      <c r="M540" s="15" t="n">
        <f aca="false">E540*G540</f>
        <v>4588800</v>
      </c>
      <c r="N540" s="15" t="n">
        <f aca="false">E540*H540</f>
        <v>5120000</v>
      </c>
      <c r="O540" s="18" t="n">
        <f aca="false">IF(H540=0,"",(H540-G540)/H540)</f>
        <v>0.10375</v>
      </c>
      <c r="P540" s="12" t="n">
        <f aca="false">IF(J540="","",J540-README!$C$4)</f>
        <v>171</v>
      </c>
      <c r="Q540" s="12" t="str">
        <f aca="false">IF(E540=0,"Out of stock",IF(E540&lt;=F540,"Low stock","OK"))</f>
        <v>OK</v>
      </c>
      <c r="R540" s="12" t="str">
        <f aca="false">IF(J540="","No expiry",IF(P540&lt;0,"Expired",IF(P540&lt;=30,"Expiring &lt;=30 days","OK")))</f>
        <v>OK</v>
      </c>
      <c r="S540" s="12"/>
    </row>
    <row r="541" customFormat="false" ht="15" hidden="false" customHeight="false" outlineLevel="0" collapsed="false">
      <c r="A541" s="12" t="s">
        <v>3561</v>
      </c>
      <c r="B541" s="12" t="s">
        <v>1345</v>
      </c>
      <c r="C541" s="12" t="s">
        <v>2198</v>
      </c>
      <c r="D541" s="12" t="s">
        <v>2199</v>
      </c>
      <c r="E541" s="12" t="n">
        <v>28</v>
      </c>
      <c r="F541" s="12" t="n">
        <v>11</v>
      </c>
      <c r="G541" s="15" t="n">
        <v>37700</v>
      </c>
      <c r="H541" s="15" t="n">
        <v>43000</v>
      </c>
      <c r="I541" s="12" t="s">
        <v>3562</v>
      </c>
      <c r="J541" s="17" t="n">
        <v>46474</v>
      </c>
      <c r="K541" s="12" t="s">
        <v>1120</v>
      </c>
      <c r="L541" s="12" t="n">
        <v>19</v>
      </c>
      <c r="M541" s="15" t="n">
        <f aca="false">E541*G541</f>
        <v>1055600</v>
      </c>
      <c r="N541" s="15" t="n">
        <f aca="false">E541*H541</f>
        <v>1204000</v>
      </c>
      <c r="O541" s="18" t="n">
        <f aca="false">IF(H541=0,"",(H541-G541)/H541)</f>
        <v>0.123255813953488</v>
      </c>
      <c r="P541" s="12" t="n">
        <f aca="false">IF(J541="","",J541-README!$C$4)</f>
        <v>152</v>
      </c>
      <c r="Q541" s="12" t="str">
        <f aca="false">IF(E541=0,"Out of stock",IF(E541&lt;=F541,"Low stock","OK"))</f>
        <v>OK</v>
      </c>
      <c r="R541" s="12" t="str">
        <f aca="false">IF(J541="","No expiry",IF(P541&lt;0,"Expired",IF(P541&lt;=30,"Expiring &lt;=30 days","OK")))</f>
        <v>OK</v>
      </c>
      <c r="S541" s="12"/>
    </row>
    <row r="542" customFormat="false" ht="15" hidden="false" customHeight="false" outlineLevel="0" collapsed="false">
      <c r="A542" s="12" t="s">
        <v>3563</v>
      </c>
      <c r="B542" s="12" t="s">
        <v>1345</v>
      </c>
      <c r="C542" s="12" t="s">
        <v>2216</v>
      </c>
      <c r="D542" s="12" t="s">
        <v>2218</v>
      </c>
      <c r="E542" s="12" t="n">
        <v>30</v>
      </c>
      <c r="F542" s="12" t="n">
        <v>28</v>
      </c>
      <c r="G542" s="15" t="n">
        <v>8000</v>
      </c>
      <c r="H542" s="15" t="n">
        <v>9600</v>
      </c>
      <c r="I542" s="12" t="s">
        <v>3564</v>
      </c>
      <c r="J542" s="17" t="n">
        <v>46451</v>
      </c>
      <c r="K542" s="12" t="s">
        <v>1120</v>
      </c>
      <c r="L542" s="12" t="n">
        <v>21</v>
      </c>
      <c r="M542" s="15" t="n">
        <f aca="false">E542*G542</f>
        <v>240000</v>
      </c>
      <c r="N542" s="15" t="n">
        <f aca="false">E542*H542</f>
        <v>288000</v>
      </c>
      <c r="O542" s="18" t="n">
        <f aca="false">IF(H542=0,"",(H542-G542)/H542)</f>
        <v>0.166666666666667</v>
      </c>
      <c r="P542" s="12" t="n">
        <f aca="false">IF(J542="","",J542-README!$C$4)</f>
        <v>129</v>
      </c>
      <c r="Q542" s="12" t="str">
        <f aca="false">IF(E542=0,"Out of stock",IF(E542&lt;=F542,"Low stock","OK"))</f>
        <v>OK</v>
      </c>
      <c r="R542" s="12" t="str">
        <f aca="false">IF(J542="","No expiry",IF(P542&lt;0,"Expired",IF(P542&lt;=30,"Expiring &lt;=30 days","OK")))</f>
        <v>OK</v>
      </c>
      <c r="S542" s="12"/>
    </row>
    <row r="543" customFormat="false" ht="15" hidden="false" customHeight="false" outlineLevel="0" collapsed="false">
      <c r="A543" s="12" t="s">
        <v>3565</v>
      </c>
      <c r="B543" s="12" t="s">
        <v>1345</v>
      </c>
      <c r="C543" s="12" t="s">
        <v>2208</v>
      </c>
      <c r="D543" s="12" t="s">
        <v>2210</v>
      </c>
      <c r="E543" s="12" t="n">
        <v>145</v>
      </c>
      <c r="F543" s="12" t="n">
        <v>28</v>
      </c>
      <c r="G543" s="15" t="n">
        <v>1300</v>
      </c>
      <c r="H543" s="15" t="n">
        <v>1600</v>
      </c>
      <c r="I543" s="12" t="s">
        <v>3566</v>
      </c>
      <c r="J543" s="17" t="n">
        <v>46520</v>
      </c>
      <c r="K543" s="12" t="s">
        <v>1120</v>
      </c>
      <c r="L543" s="12" t="n">
        <v>101</v>
      </c>
      <c r="M543" s="15" t="n">
        <f aca="false">E543*G543</f>
        <v>188500</v>
      </c>
      <c r="N543" s="15" t="n">
        <f aca="false">E543*H543</f>
        <v>232000</v>
      </c>
      <c r="O543" s="18" t="n">
        <f aca="false">IF(H543=0,"",(H543-G543)/H543)</f>
        <v>0.1875</v>
      </c>
      <c r="P543" s="12" t="n">
        <f aca="false">IF(J543="","",J543-README!$C$4)</f>
        <v>198</v>
      </c>
      <c r="Q543" s="12" t="str">
        <f aca="false">IF(E543=0,"Out of stock",IF(E543&lt;=F543,"Low stock","OK"))</f>
        <v>OK</v>
      </c>
      <c r="R543" s="12" t="str">
        <f aca="false">IF(J543="","No expiry",IF(P543&lt;0,"Expired",IF(P543&lt;=30,"Expiring &lt;=30 days","OK")))</f>
        <v>OK</v>
      </c>
      <c r="S543" s="12"/>
    </row>
    <row r="544" customFormat="false" ht="15" hidden="false" customHeight="false" outlineLevel="0" collapsed="false">
      <c r="A544" s="12" t="s">
        <v>3567</v>
      </c>
      <c r="B544" s="12" t="s">
        <v>1345</v>
      </c>
      <c r="C544" s="12" t="s">
        <v>2223</v>
      </c>
      <c r="D544" s="12" t="s">
        <v>2224</v>
      </c>
      <c r="E544" s="12" t="n">
        <v>81</v>
      </c>
      <c r="F544" s="12" t="n">
        <v>28</v>
      </c>
      <c r="G544" s="15" t="n">
        <v>3900</v>
      </c>
      <c r="H544" s="15" t="n">
        <v>4800</v>
      </c>
      <c r="I544" s="12" t="s">
        <v>3568</v>
      </c>
      <c r="J544" s="17" t="n">
        <v>46768</v>
      </c>
      <c r="K544" s="12" t="s">
        <v>1120</v>
      </c>
      <c r="L544" s="12" t="n">
        <v>56</v>
      </c>
      <c r="M544" s="15" t="n">
        <f aca="false">E544*G544</f>
        <v>315900</v>
      </c>
      <c r="N544" s="15" t="n">
        <f aca="false">E544*H544</f>
        <v>388800</v>
      </c>
      <c r="O544" s="18" t="n">
        <f aca="false">IF(H544=0,"",(H544-G544)/H544)</f>
        <v>0.1875</v>
      </c>
      <c r="P544" s="12" t="n">
        <f aca="false">IF(J544="","",J544-README!$C$4)</f>
        <v>446</v>
      </c>
      <c r="Q544" s="12" t="str">
        <f aca="false">IF(E544=0,"Out of stock",IF(E544&lt;=F544,"Low stock","OK"))</f>
        <v>OK</v>
      </c>
      <c r="R544" s="12" t="str">
        <f aca="false">IF(J544="","No expiry",IF(P544&lt;0,"Expired",IF(P544&lt;=30,"Expiring &lt;=30 days","OK")))</f>
        <v>OK</v>
      </c>
      <c r="S544" s="19" t="s">
        <v>2648</v>
      </c>
    </row>
    <row r="545" customFormat="false" ht="15" hidden="false" customHeight="false" outlineLevel="0" collapsed="false">
      <c r="A545" s="12" t="s">
        <v>3569</v>
      </c>
      <c r="B545" s="12" t="s">
        <v>1345</v>
      </c>
      <c r="C545" s="12" t="s">
        <v>2226</v>
      </c>
      <c r="D545" s="12" t="s">
        <v>2227</v>
      </c>
      <c r="E545" s="12" t="n">
        <v>194</v>
      </c>
      <c r="F545" s="12" t="n">
        <v>28</v>
      </c>
      <c r="G545" s="15" t="n">
        <v>9000</v>
      </c>
      <c r="H545" s="15" t="n">
        <v>10500</v>
      </c>
      <c r="I545" s="12" t="s">
        <v>3570</v>
      </c>
      <c r="J545" s="17" t="n">
        <v>46530</v>
      </c>
      <c r="K545" s="12" t="s">
        <v>1120</v>
      </c>
      <c r="L545" s="12" t="n">
        <v>135</v>
      </c>
      <c r="M545" s="15" t="n">
        <f aca="false">E545*G545</f>
        <v>1746000</v>
      </c>
      <c r="N545" s="15" t="n">
        <f aca="false">E545*H545</f>
        <v>2037000</v>
      </c>
      <c r="O545" s="18" t="n">
        <f aca="false">IF(H545=0,"",(H545-G545)/H545)</f>
        <v>0.142857142857143</v>
      </c>
      <c r="P545" s="12" t="n">
        <f aca="false">IF(J545="","",J545-README!$C$4)</f>
        <v>208</v>
      </c>
      <c r="Q545" s="12" t="str">
        <f aca="false">IF(E545=0,"Out of stock",IF(E545&lt;=F545,"Low stock","OK"))</f>
        <v>OK</v>
      </c>
      <c r="R545" s="12" t="str">
        <f aca="false">IF(J545="","No expiry",IF(P545&lt;0,"Expired",IF(P545&lt;=30,"Expiring &lt;=30 days","OK")))</f>
        <v>OK</v>
      </c>
      <c r="S545" s="12"/>
    </row>
    <row r="546" customFormat="false" ht="15" hidden="false" customHeight="false" outlineLevel="0" collapsed="false">
      <c r="A546" s="12" t="s">
        <v>3571</v>
      </c>
      <c r="B546" s="12" t="s">
        <v>1345</v>
      </c>
      <c r="C546" s="12" t="s">
        <v>2220</v>
      </c>
      <c r="D546" s="12" t="s">
        <v>2221</v>
      </c>
      <c r="E546" s="12" t="n">
        <v>91</v>
      </c>
      <c r="F546" s="12" t="n">
        <v>28</v>
      </c>
      <c r="G546" s="15" t="n">
        <v>1300</v>
      </c>
      <c r="H546" s="15" t="n">
        <v>1600</v>
      </c>
      <c r="I546" s="12" t="s">
        <v>3572</v>
      </c>
      <c r="J546" s="17" t="n">
        <v>46797</v>
      </c>
      <c r="K546" s="12" t="s">
        <v>1120</v>
      </c>
      <c r="L546" s="12" t="n">
        <v>63</v>
      </c>
      <c r="M546" s="15" t="n">
        <f aca="false">E546*G546</f>
        <v>118300</v>
      </c>
      <c r="N546" s="15" t="n">
        <f aca="false">E546*H546</f>
        <v>145600</v>
      </c>
      <c r="O546" s="18" t="n">
        <f aca="false">IF(H546=0,"",(H546-G546)/H546)</f>
        <v>0.1875</v>
      </c>
      <c r="P546" s="12" t="n">
        <f aca="false">IF(J546="","",J546-README!$C$4)</f>
        <v>475</v>
      </c>
      <c r="Q546" s="12" t="str">
        <f aca="false">IF(E546=0,"Out of stock",IF(E546&lt;=F546,"Low stock","OK"))</f>
        <v>OK</v>
      </c>
      <c r="R546" s="12" t="str">
        <f aca="false">IF(J546="","No expiry",IF(P546&lt;0,"Expired",IF(P546&lt;=30,"Expiring &lt;=30 days","OK")))</f>
        <v>OK</v>
      </c>
      <c r="S546" s="12"/>
    </row>
    <row r="547" customFormat="false" ht="15" hidden="false" customHeight="false" outlineLevel="0" collapsed="false">
      <c r="A547" s="12" t="s">
        <v>3573</v>
      </c>
      <c r="B547" s="12" t="s">
        <v>1345</v>
      </c>
      <c r="C547" s="12" t="s">
        <v>2229</v>
      </c>
      <c r="D547" s="12" t="s">
        <v>2230</v>
      </c>
      <c r="E547" s="12" t="n">
        <v>136</v>
      </c>
      <c r="F547" s="12" t="n">
        <v>28</v>
      </c>
      <c r="G547" s="15" t="n">
        <v>3600</v>
      </c>
      <c r="H547" s="15" t="n">
        <v>4300</v>
      </c>
      <c r="I547" s="12" t="s">
        <v>3574</v>
      </c>
      <c r="J547" s="17" t="n">
        <v>46555</v>
      </c>
      <c r="K547" s="12" t="s">
        <v>1120</v>
      </c>
      <c r="L547" s="12" t="n">
        <v>95</v>
      </c>
      <c r="M547" s="15" t="n">
        <f aca="false">E547*G547</f>
        <v>489600</v>
      </c>
      <c r="N547" s="15" t="n">
        <f aca="false">E547*H547</f>
        <v>584800</v>
      </c>
      <c r="O547" s="18" t="n">
        <f aca="false">IF(H547=0,"",(H547-G547)/H547)</f>
        <v>0.162790697674419</v>
      </c>
      <c r="P547" s="12" t="n">
        <f aca="false">IF(J547="","",J547-README!$C$4)</f>
        <v>233</v>
      </c>
      <c r="Q547" s="12" t="str">
        <f aca="false">IF(E547=0,"Out of stock",IF(E547&lt;=F547,"Low stock","OK"))</f>
        <v>OK</v>
      </c>
      <c r="R547" s="12" t="str">
        <f aca="false">IF(J547="","No expiry",IF(P547&lt;0,"Expired",IF(P547&lt;=30,"Expiring &lt;=30 days","OK")))</f>
        <v>OK</v>
      </c>
      <c r="S547" s="12"/>
    </row>
    <row r="548" customFormat="false" ht="15" hidden="false" customHeight="false" outlineLevel="0" collapsed="false">
      <c r="A548" s="12" t="s">
        <v>3575</v>
      </c>
      <c r="B548" s="12" t="s">
        <v>1345</v>
      </c>
      <c r="C548" s="12" t="s">
        <v>2232</v>
      </c>
      <c r="D548" s="12" t="s">
        <v>2234</v>
      </c>
      <c r="E548" s="12" t="n">
        <v>7</v>
      </c>
      <c r="F548" s="12" t="n">
        <v>3</v>
      </c>
      <c r="G548" s="15" t="n">
        <v>26500</v>
      </c>
      <c r="H548" s="15" t="n">
        <v>32000</v>
      </c>
      <c r="I548" s="12" t="s">
        <v>3576</v>
      </c>
      <c r="J548" s="17" t="n">
        <v>46884</v>
      </c>
      <c r="K548" s="12" t="s">
        <v>1120</v>
      </c>
      <c r="L548" s="12" t="n">
        <v>4</v>
      </c>
      <c r="M548" s="15" t="n">
        <f aca="false">E548*G548</f>
        <v>185500</v>
      </c>
      <c r="N548" s="15" t="n">
        <f aca="false">E548*H548</f>
        <v>224000</v>
      </c>
      <c r="O548" s="18" t="n">
        <f aca="false">IF(H548=0,"",(H548-G548)/H548)</f>
        <v>0.171875</v>
      </c>
      <c r="P548" s="12" t="n">
        <f aca="false">IF(J548="","",J548-README!$C$4)</f>
        <v>562</v>
      </c>
      <c r="Q548" s="12" t="str">
        <f aca="false">IF(E548=0,"Out of stock",IF(E548&lt;=F548,"Low stock","OK"))</f>
        <v>OK</v>
      </c>
      <c r="R548" s="12" t="str">
        <f aca="false">IF(J548="","No expiry",IF(P548&lt;0,"Expired",IF(P548&lt;=30,"Expiring &lt;=30 days","OK")))</f>
        <v>OK</v>
      </c>
      <c r="S548" s="12"/>
    </row>
    <row r="549" customFormat="false" ht="15" hidden="false" customHeight="false" outlineLevel="0" collapsed="false">
      <c r="A549" s="12" t="s">
        <v>3577</v>
      </c>
      <c r="B549" s="12" t="s">
        <v>1345</v>
      </c>
      <c r="C549" s="12" t="s">
        <v>2244</v>
      </c>
      <c r="D549" s="12" t="s">
        <v>2246</v>
      </c>
      <c r="E549" s="12" t="n">
        <v>48</v>
      </c>
      <c r="F549" s="12" t="n">
        <v>8</v>
      </c>
      <c r="G549" s="15" t="n">
        <v>26700</v>
      </c>
      <c r="H549" s="15" t="n">
        <v>30000</v>
      </c>
      <c r="I549" s="12" t="s">
        <v>3578</v>
      </c>
      <c r="J549" s="17" t="n">
        <v>46822</v>
      </c>
      <c r="K549" s="12" t="s">
        <v>1120</v>
      </c>
      <c r="L549" s="12" t="n">
        <v>33</v>
      </c>
      <c r="M549" s="15" t="n">
        <f aca="false">E549*G549</f>
        <v>1281600</v>
      </c>
      <c r="N549" s="15" t="n">
        <f aca="false">E549*H549</f>
        <v>1440000</v>
      </c>
      <c r="O549" s="18" t="n">
        <f aca="false">IF(H549=0,"",(H549-G549)/H549)</f>
        <v>0.11</v>
      </c>
      <c r="P549" s="12" t="n">
        <f aca="false">IF(J549="","",J549-README!$C$4)</f>
        <v>500</v>
      </c>
      <c r="Q549" s="12" t="str">
        <f aca="false">IF(E549=0,"Out of stock",IF(E549&lt;=F549,"Low stock","OK"))</f>
        <v>OK</v>
      </c>
      <c r="R549" s="12" t="str">
        <f aca="false">IF(J549="","No expiry",IF(P549&lt;0,"Expired",IF(P549&lt;=30,"Expiring &lt;=30 days","OK")))</f>
        <v>OK</v>
      </c>
      <c r="S549" s="12"/>
    </row>
    <row r="550" customFormat="false" ht="15" hidden="false" customHeight="false" outlineLevel="0" collapsed="false">
      <c r="A550" s="12" t="s">
        <v>3579</v>
      </c>
      <c r="B550" s="12" t="s">
        <v>1345</v>
      </c>
      <c r="C550" s="12" t="s">
        <v>2240</v>
      </c>
      <c r="D550" s="12" t="s">
        <v>2242</v>
      </c>
      <c r="E550" s="12" t="n">
        <v>10</v>
      </c>
      <c r="F550" s="12" t="n">
        <v>8</v>
      </c>
      <c r="G550" s="15" t="n">
        <v>13700</v>
      </c>
      <c r="H550" s="15" t="n">
        <v>16000</v>
      </c>
      <c r="I550" s="12" t="s">
        <v>3580</v>
      </c>
      <c r="J550" s="17" t="n">
        <v>46693</v>
      </c>
      <c r="K550" s="12" t="s">
        <v>1120</v>
      </c>
      <c r="L550" s="12" t="n">
        <v>7</v>
      </c>
      <c r="M550" s="15" t="n">
        <f aca="false">E550*G550</f>
        <v>137000</v>
      </c>
      <c r="N550" s="15" t="n">
        <f aca="false">E550*H550</f>
        <v>160000</v>
      </c>
      <c r="O550" s="18" t="n">
        <f aca="false">IF(H550=0,"",(H550-G550)/H550)</f>
        <v>0.14375</v>
      </c>
      <c r="P550" s="12" t="n">
        <f aca="false">IF(J550="","",J550-README!$C$4)</f>
        <v>371</v>
      </c>
      <c r="Q550" s="12" t="str">
        <f aca="false">IF(E550=0,"Out of stock",IF(E550&lt;=F550,"Low stock","OK"))</f>
        <v>OK</v>
      </c>
      <c r="R550" s="12" t="str">
        <f aca="false">IF(J550="","No expiry",IF(P550&lt;0,"Expired",IF(P550&lt;=30,"Expiring &lt;=30 days","OK")))</f>
        <v>OK</v>
      </c>
      <c r="S550" s="12"/>
    </row>
    <row r="551" customFormat="false" ht="15" hidden="false" customHeight="false" outlineLevel="0" collapsed="false">
      <c r="A551" s="12" t="s">
        <v>3581</v>
      </c>
      <c r="B551" s="12" t="s">
        <v>1345</v>
      </c>
      <c r="C551" s="12" t="s">
        <v>2251</v>
      </c>
      <c r="D551" s="12" t="s">
        <v>2252</v>
      </c>
      <c r="E551" s="12" t="n">
        <v>51</v>
      </c>
      <c r="F551" s="12" t="n">
        <v>28</v>
      </c>
      <c r="G551" s="15" t="n">
        <v>3200</v>
      </c>
      <c r="H551" s="15" t="n">
        <v>3700</v>
      </c>
      <c r="I551" s="12" t="s">
        <v>3582</v>
      </c>
      <c r="J551" s="17" t="n">
        <v>46807</v>
      </c>
      <c r="K551" s="12" t="s">
        <v>1120</v>
      </c>
      <c r="L551" s="12" t="n">
        <v>35</v>
      </c>
      <c r="M551" s="15" t="n">
        <f aca="false">E551*G551</f>
        <v>163200</v>
      </c>
      <c r="N551" s="15" t="n">
        <f aca="false">E551*H551</f>
        <v>188700</v>
      </c>
      <c r="O551" s="18" t="n">
        <f aca="false">IF(H551=0,"",(H551-G551)/H551)</f>
        <v>0.135135135135135</v>
      </c>
      <c r="P551" s="12" t="n">
        <f aca="false">IF(J551="","",J551-README!$C$4)</f>
        <v>485</v>
      </c>
      <c r="Q551" s="12" t="str">
        <f aca="false">IF(E551=0,"Out of stock",IF(E551&lt;=F551,"Low stock","OK"))</f>
        <v>OK</v>
      </c>
      <c r="R551" s="12" t="str">
        <f aca="false">IF(J551="","No expiry",IF(P551&lt;0,"Expired",IF(P551&lt;=30,"Expiring &lt;=30 days","OK")))</f>
        <v>OK</v>
      </c>
      <c r="S551" s="12"/>
    </row>
    <row r="552" customFormat="false" ht="15" hidden="false" customHeight="false" outlineLevel="0" collapsed="false">
      <c r="A552" s="12" t="s">
        <v>3583</v>
      </c>
      <c r="B552" s="12" t="s">
        <v>1345</v>
      </c>
      <c r="C552" s="12" t="s">
        <v>2254</v>
      </c>
      <c r="D552" s="12" t="s">
        <v>2255</v>
      </c>
      <c r="E552" s="12" t="n">
        <v>64</v>
      </c>
      <c r="F552" s="12" t="n">
        <v>28</v>
      </c>
      <c r="G552" s="15" t="n">
        <v>7100</v>
      </c>
      <c r="H552" s="15" t="n">
        <v>8600</v>
      </c>
      <c r="I552" s="12" t="s">
        <v>3584</v>
      </c>
      <c r="J552" s="17" t="n">
        <v>46731</v>
      </c>
      <c r="K552" s="12" t="s">
        <v>1120</v>
      </c>
      <c r="L552" s="12" t="n">
        <v>44</v>
      </c>
      <c r="M552" s="15" t="n">
        <f aca="false">E552*G552</f>
        <v>454400</v>
      </c>
      <c r="N552" s="15" t="n">
        <f aca="false">E552*H552</f>
        <v>550400</v>
      </c>
      <c r="O552" s="18" t="n">
        <f aca="false">IF(H552=0,"",(H552-G552)/H552)</f>
        <v>0.174418604651163</v>
      </c>
      <c r="P552" s="12" t="n">
        <f aca="false">IF(J552="","",J552-README!$C$4)</f>
        <v>409</v>
      </c>
      <c r="Q552" s="12" t="str">
        <f aca="false">IF(E552=0,"Out of stock",IF(E552&lt;=F552,"Low stock","OK"))</f>
        <v>OK</v>
      </c>
      <c r="R552" s="12" t="str">
        <f aca="false">IF(J552="","No expiry",IF(P552&lt;0,"Expired",IF(P552&lt;=30,"Expiring &lt;=30 days","OK")))</f>
        <v>OK</v>
      </c>
      <c r="S552" s="12"/>
    </row>
    <row r="553" customFormat="false" ht="15" hidden="false" customHeight="false" outlineLevel="0" collapsed="false">
      <c r="A553" s="12" t="s">
        <v>3585</v>
      </c>
      <c r="B553" s="12" t="s">
        <v>1345</v>
      </c>
      <c r="C553" s="12" t="s">
        <v>2260</v>
      </c>
      <c r="D553" s="12" t="s">
        <v>2262</v>
      </c>
      <c r="E553" s="12" t="n">
        <v>7</v>
      </c>
      <c r="F553" s="12" t="n">
        <v>4</v>
      </c>
      <c r="G553" s="15" t="n">
        <v>6100</v>
      </c>
      <c r="H553" s="15" t="n">
        <v>7500</v>
      </c>
      <c r="I553" s="12" t="s">
        <v>3586</v>
      </c>
      <c r="J553" s="17" t="n">
        <v>46742</v>
      </c>
      <c r="K553" s="12" t="s">
        <v>1120</v>
      </c>
      <c r="L553" s="12" t="n">
        <v>4</v>
      </c>
      <c r="M553" s="15" t="n">
        <f aca="false">E553*G553</f>
        <v>42700</v>
      </c>
      <c r="N553" s="15" t="n">
        <f aca="false">E553*H553</f>
        <v>52500</v>
      </c>
      <c r="O553" s="18" t="n">
        <f aca="false">IF(H553=0,"",(H553-G553)/H553)</f>
        <v>0.186666666666667</v>
      </c>
      <c r="P553" s="12" t="n">
        <f aca="false">IF(J553="","",J553-README!$C$4)</f>
        <v>420</v>
      </c>
      <c r="Q553" s="12" t="str">
        <f aca="false">IF(E553=0,"Out of stock",IF(E553&lt;=F553,"Low stock","OK"))</f>
        <v>OK</v>
      </c>
      <c r="R553" s="12" t="str">
        <f aca="false">IF(J553="","No expiry",IF(P553&lt;0,"Expired",IF(P553&lt;=30,"Expiring &lt;=30 days","OK")))</f>
        <v>OK</v>
      </c>
      <c r="S553" s="12"/>
    </row>
    <row r="554" customFormat="false" ht="15" hidden="false" customHeight="false" outlineLevel="0" collapsed="false">
      <c r="A554" s="12" t="s">
        <v>3587</v>
      </c>
      <c r="B554" s="12" t="s">
        <v>1345</v>
      </c>
      <c r="C554" s="12" t="s">
        <v>2264</v>
      </c>
      <c r="D554" s="12" t="s">
        <v>2266</v>
      </c>
      <c r="E554" s="12" t="n">
        <v>13</v>
      </c>
      <c r="F554" s="12" t="n">
        <v>4</v>
      </c>
      <c r="G554" s="15" t="n">
        <v>13800</v>
      </c>
      <c r="H554" s="15" t="n">
        <v>16000</v>
      </c>
      <c r="I554" s="12" t="s">
        <v>3588</v>
      </c>
      <c r="J554" s="17" t="n">
        <v>46445</v>
      </c>
      <c r="K554" s="12" t="s">
        <v>1111</v>
      </c>
      <c r="L554" s="12" t="n">
        <v>0</v>
      </c>
      <c r="M554" s="15" t="n">
        <f aca="false">E554*G554</f>
        <v>179400</v>
      </c>
      <c r="N554" s="15" t="n">
        <f aca="false">E554*H554</f>
        <v>208000</v>
      </c>
      <c r="O554" s="18" t="n">
        <f aca="false">IF(H554=0,"",(H554-G554)/H554)</f>
        <v>0.1375</v>
      </c>
      <c r="P554" s="12" t="n">
        <f aca="false">IF(J554="","",J554-README!$C$4)</f>
        <v>123</v>
      </c>
      <c r="Q554" s="12" t="str">
        <f aca="false">IF(E554=0,"Out of stock",IF(E554&lt;=F554,"Low stock","OK"))</f>
        <v>OK</v>
      </c>
      <c r="R554" s="12" t="str">
        <f aca="false">IF(J554="","No expiry",IF(P554&lt;0,"Expired",IF(P554&lt;=30,"Expiring &lt;=30 days","OK")))</f>
        <v>OK</v>
      </c>
      <c r="S554" s="12"/>
    </row>
    <row r="555" customFormat="false" ht="15" hidden="false" customHeight="false" outlineLevel="0" collapsed="false">
      <c r="A555" s="12" t="s">
        <v>3589</v>
      </c>
      <c r="B555" s="12" t="s">
        <v>1345</v>
      </c>
      <c r="C555" s="12" t="s">
        <v>2272</v>
      </c>
      <c r="D555" s="12" t="s">
        <v>2274</v>
      </c>
      <c r="E555" s="12" t="n">
        <v>35</v>
      </c>
      <c r="F555" s="12" t="n">
        <v>11</v>
      </c>
      <c r="G555" s="15" t="n">
        <v>83000</v>
      </c>
      <c r="H555" s="15" t="n">
        <v>101500</v>
      </c>
      <c r="I555" s="12" t="s">
        <v>3590</v>
      </c>
      <c r="J555" s="17" t="n">
        <v>46502</v>
      </c>
      <c r="K555" s="12" t="s">
        <v>1120</v>
      </c>
      <c r="L555" s="12" t="n">
        <v>24</v>
      </c>
      <c r="M555" s="15" t="n">
        <f aca="false">E555*G555</f>
        <v>2905000</v>
      </c>
      <c r="N555" s="15" t="n">
        <f aca="false">E555*H555</f>
        <v>3552500</v>
      </c>
      <c r="O555" s="18" t="n">
        <f aca="false">IF(H555=0,"",(H555-G555)/H555)</f>
        <v>0.182266009852217</v>
      </c>
      <c r="P555" s="12" t="n">
        <f aca="false">IF(J555="","",J555-README!$C$4)</f>
        <v>180</v>
      </c>
      <c r="Q555" s="12" t="str">
        <f aca="false">IF(E555=0,"Out of stock",IF(E555&lt;=F555,"Low stock","OK"))</f>
        <v>OK</v>
      </c>
      <c r="R555" s="12" t="str">
        <f aca="false">IF(J555="","No expiry",IF(P555&lt;0,"Expired",IF(P555&lt;=30,"Expiring &lt;=30 days","OK")))</f>
        <v>OK</v>
      </c>
      <c r="S555" s="12"/>
    </row>
    <row r="556" customFormat="false" ht="15" hidden="false" customHeight="false" outlineLevel="0" collapsed="false">
      <c r="A556" s="12" t="s">
        <v>3591</v>
      </c>
      <c r="B556" s="12" t="s">
        <v>1345</v>
      </c>
      <c r="C556" s="12" t="s">
        <v>2276</v>
      </c>
      <c r="D556" s="12" t="s">
        <v>2277</v>
      </c>
      <c r="E556" s="12" t="n">
        <v>156</v>
      </c>
      <c r="F556" s="12" t="n">
        <v>28</v>
      </c>
      <c r="G556" s="15" t="n">
        <v>5800</v>
      </c>
      <c r="H556" s="15" t="n">
        <v>6400</v>
      </c>
      <c r="I556" s="12" t="s">
        <v>3592</v>
      </c>
      <c r="J556" s="17" t="n">
        <v>46815</v>
      </c>
      <c r="K556" s="12" t="s">
        <v>1120</v>
      </c>
      <c r="L556" s="12" t="n">
        <v>109</v>
      </c>
      <c r="M556" s="15" t="n">
        <f aca="false">E556*G556</f>
        <v>904800</v>
      </c>
      <c r="N556" s="15" t="n">
        <f aca="false">E556*H556</f>
        <v>998400</v>
      </c>
      <c r="O556" s="18" t="n">
        <f aca="false">IF(H556=0,"",(H556-G556)/H556)</f>
        <v>0.09375</v>
      </c>
      <c r="P556" s="12" t="n">
        <f aca="false">IF(J556="","",J556-README!$C$4)</f>
        <v>493</v>
      </c>
      <c r="Q556" s="12" t="str">
        <f aca="false">IF(E556=0,"Out of stock",IF(E556&lt;=F556,"Low stock","OK"))</f>
        <v>OK</v>
      </c>
      <c r="R556" s="12" t="str">
        <f aca="false">IF(J556="","No expiry",IF(P556&lt;0,"Expired",IF(P556&lt;=30,"Expiring &lt;=30 days","OK")))</f>
        <v>OK</v>
      </c>
      <c r="S556" s="12"/>
    </row>
    <row r="557" customFormat="false" ht="15" hidden="false" customHeight="false" outlineLevel="0" collapsed="false">
      <c r="A557" s="12" t="s">
        <v>3593</v>
      </c>
      <c r="B557" s="12" t="s">
        <v>1345</v>
      </c>
      <c r="C557" s="12" t="s">
        <v>2279</v>
      </c>
      <c r="D557" s="12" t="s">
        <v>2281</v>
      </c>
      <c r="E557" s="12" t="n">
        <v>58</v>
      </c>
      <c r="F557" s="12" t="n">
        <v>8</v>
      </c>
      <c r="G557" s="15" t="n">
        <v>21600</v>
      </c>
      <c r="H557" s="15" t="n">
        <v>27000</v>
      </c>
      <c r="I557" s="12" t="s">
        <v>3594</v>
      </c>
      <c r="J557" s="17" t="n">
        <v>46770</v>
      </c>
      <c r="K557" s="12" t="s">
        <v>1120</v>
      </c>
      <c r="L557" s="12" t="n">
        <v>40</v>
      </c>
      <c r="M557" s="15" t="n">
        <f aca="false">E557*G557</f>
        <v>1252800</v>
      </c>
      <c r="N557" s="15" t="n">
        <f aca="false">E557*H557</f>
        <v>1566000</v>
      </c>
      <c r="O557" s="18" t="n">
        <f aca="false">IF(H557=0,"",(H557-G557)/H557)</f>
        <v>0.2</v>
      </c>
      <c r="P557" s="12" t="n">
        <f aca="false">IF(J557="","",J557-README!$C$4)</f>
        <v>448</v>
      </c>
      <c r="Q557" s="12" t="str">
        <f aca="false">IF(E557=0,"Out of stock",IF(E557&lt;=F557,"Low stock","OK"))</f>
        <v>OK</v>
      </c>
      <c r="R557" s="12" t="str">
        <f aca="false">IF(J557="","No expiry",IF(P557&lt;0,"Expired",IF(P557&lt;=30,"Expiring &lt;=30 days","OK")))</f>
        <v>OK</v>
      </c>
      <c r="S557" s="12"/>
    </row>
    <row r="558" customFormat="false" ht="15" hidden="false" customHeight="false" outlineLevel="0" collapsed="false">
      <c r="A558" s="12" t="s">
        <v>3595</v>
      </c>
      <c r="B558" s="12" t="s">
        <v>1345</v>
      </c>
      <c r="C558" s="12" t="s">
        <v>2283</v>
      </c>
      <c r="D558" s="12" t="s">
        <v>2284</v>
      </c>
      <c r="E558" s="12" t="n">
        <v>25</v>
      </c>
      <c r="F558" s="12" t="n">
        <v>8</v>
      </c>
      <c r="G558" s="15" t="n">
        <v>31600</v>
      </c>
      <c r="H558" s="15" t="n">
        <v>37500</v>
      </c>
      <c r="I558" s="12" t="s">
        <v>3596</v>
      </c>
      <c r="J558" s="17" t="n">
        <v>46485</v>
      </c>
      <c r="K558" s="12" t="s">
        <v>1120</v>
      </c>
      <c r="L558" s="12" t="n">
        <v>17</v>
      </c>
      <c r="M558" s="15" t="n">
        <f aca="false">E558*G558</f>
        <v>790000</v>
      </c>
      <c r="N558" s="15" t="n">
        <f aca="false">E558*H558</f>
        <v>937500</v>
      </c>
      <c r="O558" s="18" t="n">
        <f aca="false">IF(H558=0,"",(H558-G558)/H558)</f>
        <v>0.157333333333333</v>
      </c>
      <c r="P558" s="12" t="n">
        <f aca="false">IF(J558="","",J558-README!$C$4)</f>
        <v>163</v>
      </c>
      <c r="Q558" s="12" t="str">
        <f aca="false">IF(E558=0,"Out of stock",IF(E558&lt;=F558,"Low stock","OK"))</f>
        <v>OK</v>
      </c>
      <c r="R558" s="12" t="str">
        <f aca="false">IF(J558="","No expiry",IF(P558&lt;0,"Expired",IF(P558&lt;=30,"Expiring &lt;=30 days","OK")))</f>
        <v>OK</v>
      </c>
      <c r="S558" s="12"/>
    </row>
    <row r="559" customFormat="false" ht="15" hidden="false" customHeight="false" outlineLevel="0" collapsed="false">
      <c r="A559" s="12" t="s">
        <v>3597</v>
      </c>
      <c r="B559" s="12" t="s">
        <v>1345</v>
      </c>
      <c r="C559" s="12" t="s">
        <v>2286</v>
      </c>
      <c r="D559" s="12" t="s">
        <v>2287</v>
      </c>
      <c r="E559" s="12" t="n">
        <v>37</v>
      </c>
      <c r="F559" s="12" t="n">
        <v>8</v>
      </c>
      <c r="G559" s="15" t="n">
        <v>11100</v>
      </c>
      <c r="H559" s="15" t="n">
        <v>13000</v>
      </c>
      <c r="I559" s="12" t="s">
        <v>3598</v>
      </c>
      <c r="J559" s="17" t="n">
        <v>46867</v>
      </c>
      <c r="K559" s="12" t="s">
        <v>1120</v>
      </c>
      <c r="L559" s="12" t="n">
        <v>25</v>
      </c>
      <c r="M559" s="15" t="n">
        <f aca="false">E559*G559</f>
        <v>410700</v>
      </c>
      <c r="N559" s="15" t="n">
        <f aca="false">E559*H559</f>
        <v>481000</v>
      </c>
      <c r="O559" s="18" t="n">
        <f aca="false">IF(H559=0,"",(H559-G559)/H559)</f>
        <v>0.146153846153846</v>
      </c>
      <c r="P559" s="12" t="n">
        <f aca="false">IF(J559="","",J559-README!$C$4)</f>
        <v>545</v>
      </c>
      <c r="Q559" s="12" t="str">
        <f aca="false">IF(E559=0,"Out of stock",IF(E559&lt;=F559,"Low stock","OK"))</f>
        <v>OK</v>
      </c>
      <c r="R559" s="12" t="str">
        <f aca="false">IF(J559="","No expiry",IF(P559&lt;0,"Expired",IF(P559&lt;=30,"Expiring &lt;=30 days","OK")))</f>
        <v>OK</v>
      </c>
      <c r="S559" s="12"/>
    </row>
    <row r="560" customFormat="false" ht="15" hidden="false" customHeight="false" outlineLevel="0" collapsed="false">
      <c r="A560" s="12" t="s">
        <v>3599</v>
      </c>
      <c r="B560" s="12" t="s">
        <v>1345</v>
      </c>
      <c r="C560" s="12" t="s">
        <v>2295</v>
      </c>
      <c r="D560" s="12" t="s">
        <v>2296</v>
      </c>
      <c r="E560" s="12" t="n">
        <v>41</v>
      </c>
      <c r="F560" s="12" t="n">
        <v>8</v>
      </c>
      <c r="G560" s="15" t="n">
        <v>23400</v>
      </c>
      <c r="H560" s="15" t="n">
        <v>28000</v>
      </c>
      <c r="I560" s="12" t="s">
        <v>3600</v>
      </c>
      <c r="J560" s="17" t="n">
        <v>46554</v>
      </c>
      <c r="K560" s="12" t="s">
        <v>1120</v>
      </c>
      <c r="L560" s="12" t="n">
        <v>28</v>
      </c>
      <c r="M560" s="15" t="n">
        <f aca="false">E560*G560</f>
        <v>959400</v>
      </c>
      <c r="N560" s="15" t="n">
        <f aca="false">E560*H560</f>
        <v>1148000</v>
      </c>
      <c r="O560" s="18" t="n">
        <f aca="false">IF(H560=0,"",(H560-G560)/H560)</f>
        <v>0.164285714285714</v>
      </c>
      <c r="P560" s="12" t="n">
        <f aca="false">IF(J560="","",J560-README!$C$4)</f>
        <v>232</v>
      </c>
      <c r="Q560" s="12" t="str">
        <f aca="false">IF(E560=0,"Out of stock",IF(E560&lt;=F560,"Low stock","OK"))</f>
        <v>OK</v>
      </c>
      <c r="R560" s="12" t="str">
        <f aca="false">IF(J560="","No expiry",IF(P560&lt;0,"Expired",IF(P560&lt;=30,"Expiring &lt;=30 days","OK")))</f>
        <v>OK</v>
      </c>
      <c r="S560" s="12"/>
    </row>
    <row r="561" customFormat="false" ht="15" hidden="false" customHeight="false" outlineLevel="0" collapsed="false">
      <c r="A561" s="12" t="s">
        <v>3601</v>
      </c>
      <c r="B561" s="12" t="s">
        <v>1345</v>
      </c>
      <c r="C561" s="12" t="s">
        <v>2302</v>
      </c>
      <c r="D561" s="12" t="s">
        <v>2303</v>
      </c>
      <c r="E561" s="12" t="n">
        <v>11</v>
      </c>
      <c r="F561" s="12" t="n">
        <v>8</v>
      </c>
      <c r="G561" s="15" t="n">
        <v>11500</v>
      </c>
      <c r="H561" s="15" t="n">
        <v>13000</v>
      </c>
      <c r="I561" s="12" t="s">
        <v>3602</v>
      </c>
      <c r="J561" s="17" t="n">
        <v>47082</v>
      </c>
      <c r="K561" s="12" t="s">
        <v>1111</v>
      </c>
      <c r="L561" s="12" t="n">
        <v>0</v>
      </c>
      <c r="M561" s="15" t="n">
        <f aca="false">E561*G561</f>
        <v>126500</v>
      </c>
      <c r="N561" s="15" t="n">
        <f aca="false">E561*H561</f>
        <v>143000</v>
      </c>
      <c r="O561" s="18" t="n">
        <f aca="false">IF(H561=0,"",(H561-G561)/H561)</f>
        <v>0.115384615384615</v>
      </c>
      <c r="P561" s="12" t="n">
        <f aca="false">IF(J561="","",J561-README!$C$4)</f>
        <v>760</v>
      </c>
      <c r="Q561" s="12" t="str">
        <f aca="false">IF(E561=0,"Out of stock",IF(E561&lt;=F561,"Low stock","OK"))</f>
        <v>OK</v>
      </c>
      <c r="R561" s="12" t="str">
        <f aca="false">IF(J561="","No expiry",IF(P561&lt;0,"Expired",IF(P561&lt;=30,"Expiring &lt;=30 days","OK")))</f>
        <v>OK</v>
      </c>
      <c r="S561" s="12"/>
    </row>
    <row r="562" customFormat="false" ht="15" hidden="false" customHeight="false" outlineLevel="0" collapsed="false">
      <c r="A562" s="12" t="s">
        <v>3603</v>
      </c>
      <c r="B562" s="12" t="s">
        <v>1345</v>
      </c>
      <c r="C562" s="12" t="s">
        <v>2308</v>
      </c>
      <c r="D562" s="12" t="s">
        <v>2309</v>
      </c>
      <c r="E562" s="12" t="n">
        <v>170</v>
      </c>
      <c r="F562" s="12" t="n">
        <v>28</v>
      </c>
      <c r="G562" s="15" t="n">
        <v>7900</v>
      </c>
      <c r="H562" s="15" t="n">
        <v>9600</v>
      </c>
      <c r="I562" s="12" t="s">
        <v>3604</v>
      </c>
      <c r="J562" s="17" t="n">
        <v>46577</v>
      </c>
      <c r="K562" s="12" t="s">
        <v>1120</v>
      </c>
      <c r="L562" s="12" t="n">
        <v>118</v>
      </c>
      <c r="M562" s="15" t="n">
        <f aca="false">E562*G562</f>
        <v>1343000</v>
      </c>
      <c r="N562" s="15" t="n">
        <f aca="false">E562*H562</f>
        <v>1632000</v>
      </c>
      <c r="O562" s="18" t="n">
        <f aca="false">IF(H562=0,"",(H562-G562)/H562)</f>
        <v>0.177083333333333</v>
      </c>
      <c r="P562" s="12" t="n">
        <f aca="false">IF(J562="","",J562-README!$C$4)</f>
        <v>255</v>
      </c>
      <c r="Q562" s="12" t="str">
        <f aca="false">IF(E562=0,"Out of stock",IF(E562&lt;=F562,"Low stock","OK"))</f>
        <v>OK</v>
      </c>
      <c r="R562" s="12" t="str">
        <f aca="false">IF(J562="","No expiry",IF(P562&lt;0,"Expired",IF(P562&lt;=30,"Expiring &lt;=30 days","OK")))</f>
        <v>OK</v>
      </c>
      <c r="S562" s="12"/>
    </row>
    <row r="563" customFormat="false" ht="15" hidden="false" customHeight="false" outlineLevel="0" collapsed="false">
      <c r="A563" s="12" t="s">
        <v>3605</v>
      </c>
      <c r="B563" s="12" t="s">
        <v>1345</v>
      </c>
      <c r="C563" s="12" t="s">
        <v>2311</v>
      </c>
      <c r="D563" s="12" t="s">
        <v>2312</v>
      </c>
      <c r="E563" s="12" t="n">
        <v>43</v>
      </c>
      <c r="F563" s="12" t="n">
        <v>8</v>
      </c>
      <c r="G563" s="15" t="n">
        <v>12100</v>
      </c>
      <c r="H563" s="15" t="n">
        <v>15000</v>
      </c>
      <c r="I563" s="12" t="s">
        <v>3606</v>
      </c>
      <c r="J563" s="17" t="n">
        <v>47103</v>
      </c>
      <c r="K563" s="12" t="s">
        <v>1120</v>
      </c>
      <c r="L563" s="12" t="n">
        <v>30</v>
      </c>
      <c r="M563" s="15" t="n">
        <f aca="false">E563*G563</f>
        <v>520300</v>
      </c>
      <c r="N563" s="15" t="n">
        <f aca="false">E563*H563</f>
        <v>645000</v>
      </c>
      <c r="O563" s="18" t="n">
        <f aca="false">IF(H563=0,"",(H563-G563)/H563)</f>
        <v>0.193333333333333</v>
      </c>
      <c r="P563" s="12" t="n">
        <f aca="false">IF(J563="","",J563-README!$C$4)</f>
        <v>781</v>
      </c>
      <c r="Q563" s="12" t="str">
        <f aca="false">IF(E563=0,"Out of stock",IF(E563&lt;=F563,"Low stock","OK"))</f>
        <v>OK</v>
      </c>
      <c r="R563" s="12" t="str">
        <f aca="false">IF(J563="","No expiry",IF(P563&lt;0,"Expired",IF(P563&lt;=30,"Expiring &lt;=30 days","OK")))</f>
        <v>OK</v>
      </c>
      <c r="S563" s="12"/>
    </row>
    <row r="564" customFormat="false" ht="15" hidden="false" customHeight="false" outlineLevel="0" collapsed="false">
      <c r="A564" s="12" t="s">
        <v>3607</v>
      </c>
      <c r="B564" s="12" t="s">
        <v>1345</v>
      </c>
      <c r="C564" s="12" t="s">
        <v>2317</v>
      </c>
      <c r="D564" s="12" t="s">
        <v>2318</v>
      </c>
      <c r="E564" s="12" t="n">
        <v>51</v>
      </c>
      <c r="F564" s="12" t="n">
        <v>8</v>
      </c>
      <c r="G564" s="15" t="n">
        <v>24900</v>
      </c>
      <c r="H564" s="15" t="n">
        <v>30000</v>
      </c>
      <c r="I564" s="12" t="s">
        <v>3608</v>
      </c>
      <c r="J564" s="17" t="n">
        <v>46636</v>
      </c>
      <c r="K564" s="12" t="s">
        <v>1120</v>
      </c>
      <c r="L564" s="12" t="n">
        <v>35</v>
      </c>
      <c r="M564" s="15" t="n">
        <f aca="false">E564*G564</f>
        <v>1269900</v>
      </c>
      <c r="N564" s="15" t="n">
        <f aca="false">E564*H564</f>
        <v>1530000</v>
      </c>
      <c r="O564" s="18" t="n">
        <f aca="false">IF(H564=0,"",(H564-G564)/H564)</f>
        <v>0.17</v>
      </c>
      <c r="P564" s="12" t="n">
        <f aca="false">IF(J564="","",J564-README!$C$4)</f>
        <v>314</v>
      </c>
      <c r="Q564" s="12" t="str">
        <f aca="false">IF(E564=0,"Out of stock",IF(E564&lt;=F564,"Low stock","OK"))</f>
        <v>OK</v>
      </c>
      <c r="R564" s="12" t="str">
        <f aca="false">IF(J564="","No expiry",IF(P564&lt;0,"Expired",IF(P564&lt;=30,"Expiring &lt;=30 days","OK")))</f>
        <v>OK</v>
      </c>
      <c r="S564" s="12"/>
    </row>
    <row r="565" customFormat="false" ht="15" hidden="false" customHeight="false" outlineLevel="0" collapsed="false">
      <c r="A565" s="12" t="s">
        <v>3609</v>
      </c>
      <c r="B565" s="12" t="s">
        <v>1345</v>
      </c>
      <c r="C565" s="12" t="s">
        <v>2320</v>
      </c>
      <c r="D565" s="12" t="s">
        <v>2321</v>
      </c>
      <c r="E565" s="12" t="n">
        <v>148</v>
      </c>
      <c r="F565" s="12" t="n">
        <v>28</v>
      </c>
      <c r="G565" s="15" t="n">
        <v>3000</v>
      </c>
      <c r="H565" s="15" t="n">
        <v>3700</v>
      </c>
      <c r="I565" s="12" t="s">
        <v>3610</v>
      </c>
      <c r="J565" s="17" t="n">
        <v>46866</v>
      </c>
      <c r="K565" s="12" t="s">
        <v>1120</v>
      </c>
      <c r="L565" s="12" t="n">
        <v>103</v>
      </c>
      <c r="M565" s="15" t="n">
        <f aca="false">E565*G565</f>
        <v>444000</v>
      </c>
      <c r="N565" s="15" t="n">
        <f aca="false">E565*H565</f>
        <v>547600</v>
      </c>
      <c r="O565" s="18" t="n">
        <f aca="false">IF(H565=0,"",(H565-G565)/H565)</f>
        <v>0.189189189189189</v>
      </c>
      <c r="P565" s="12" t="n">
        <f aca="false">IF(J565="","",J565-README!$C$4)</f>
        <v>544</v>
      </c>
      <c r="Q565" s="12" t="str">
        <f aca="false">IF(E565=0,"Out of stock",IF(E565&lt;=F565,"Low stock","OK"))</f>
        <v>OK</v>
      </c>
      <c r="R565" s="12" t="str">
        <f aca="false">IF(J565="","No expiry",IF(P565&lt;0,"Expired",IF(P565&lt;=30,"Expiring &lt;=30 days","OK")))</f>
        <v>OK</v>
      </c>
      <c r="S565" s="12"/>
    </row>
    <row r="566" customFormat="false" ht="15" hidden="false" customHeight="false" outlineLevel="0" collapsed="false">
      <c r="A566" s="12" t="s">
        <v>3611</v>
      </c>
      <c r="B566" s="12" t="s">
        <v>1345</v>
      </c>
      <c r="C566" s="12" t="s">
        <v>2326</v>
      </c>
      <c r="D566" s="12" t="s">
        <v>2327</v>
      </c>
      <c r="E566" s="12" t="n">
        <v>56</v>
      </c>
      <c r="F566" s="12" t="n">
        <v>8</v>
      </c>
      <c r="G566" s="15" t="n">
        <v>7700</v>
      </c>
      <c r="H566" s="15" t="n">
        <v>8600</v>
      </c>
      <c r="I566" s="12" t="s">
        <v>3612</v>
      </c>
      <c r="J566" s="17" t="n">
        <v>46688</v>
      </c>
      <c r="K566" s="12" t="s">
        <v>1120</v>
      </c>
      <c r="L566" s="12" t="n">
        <v>39</v>
      </c>
      <c r="M566" s="15" t="n">
        <f aca="false">E566*G566</f>
        <v>431200</v>
      </c>
      <c r="N566" s="15" t="n">
        <f aca="false">E566*H566</f>
        <v>481600</v>
      </c>
      <c r="O566" s="18" t="n">
        <f aca="false">IF(H566=0,"",(H566-G566)/H566)</f>
        <v>0.104651162790698</v>
      </c>
      <c r="P566" s="12" t="n">
        <f aca="false">IF(J566="","",J566-README!$C$4)</f>
        <v>366</v>
      </c>
      <c r="Q566" s="12" t="str">
        <f aca="false">IF(E566=0,"Out of stock",IF(E566&lt;=F566,"Low stock","OK"))</f>
        <v>OK</v>
      </c>
      <c r="R566" s="12" t="str">
        <f aca="false">IF(J566="","No expiry",IF(P566&lt;0,"Expired",IF(P566&lt;=30,"Expiring &lt;=30 days","OK")))</f>
        <v>OK</v>
      </c>
      <c r="S566" s="12"/>
    </row>
    <row r="567" customFormat="false" ht="15" hidden="false" customHeight="false" outlineLevel="0" collapsed="false">
      <c r="A567" s="12" t="s">
        <v>3613</v>
      </c>
      <c r="B567" s="12" t="s">
        <v>1345</v>
      </c>
      <c r="C567" s="12" t="s">
        <v>2332</v>
      </c>
      <c r="D567" s="12" t="s">
        <v>2333</v>
      </c>
      <c r="E567" s="12" t="n">
        <v>123</v>
      </c>
      <c r="F567" s="12" t="n">
        <v>28</v>
      </c>
      <c r="G567" s="15" t="n">
        <v>4800</v>
      </c>
      <c r="H567" s="15" t="n">
        <v>5400</v>
      </c>
      <c r="I567" s="12" t="s">
        <v>3614</v>
      </c>
      <c r="J567" s="17" t="n">
        <v>47061</v>
      </c>
      <c r="K567" s="12" t="s">
        <v>1111</v>
      </c>
      <c r="L567" s="12" t="n">
        <v>0</v>
      </c>
      <c r="M567" s="15" t="n">
        <f aca="false">E567*G567</f>
        <v>590400</v>
      </c>
      <c r="N567" s="15" t="n">
        <f aca="false">E567*H567</f>
        <v>664200</v>
      </c>
      <c r="O567" s="18" t="n">
        <f aca="false">IF(H567=0,"",(H567-G567)/H567)</f>
        <v>0.111111111111111</v>
      </c>
      <c r="P567" s="12" t="n">
        <f aca="false">IF(J567="","",J567-README!$C$4)</f>
        <v>739</v>
      </c>
      <c r="Q567" s="12" t="str">
        <f aca="false">IF(E567=0,"Out of stock",IF(E567&lt;=F567,"Low stock","OK"))</f>
        <v>OK</v>
      </c>
      <c r="R567" s="12" t="str">
        <f aca="false">IF(J567="","No expiry",IF(P567&lt;0,"Expired",IF(P567&lt;=30,"Expiring &lt;=30 days","OK")))</f>
        <v>OK</v>
      </c>
      <c r="S567" s="12"/>
    </row>
    <row r="568" customFormat="false" ht="15" hidden="false" customHeight="false" outlineLevel="0" collapsed="false">
      <c r="A568" s="12" t="s">
        <v>3615</v>
      </c>
      <c r="B568" s="12" t="s">
        <v>1345</v>
      </c>
      <c r="C568" s="12" t="s">
        <v>2335</v>
      </c>
      <c r="D568" s="12" t="s">
        <v>2336</v>
      </c>
      <c r="E568" s="12" t="n">
        <v>10</v>
      </c>
      <c r="F568" s="12" t="n">
        <v>3</v>
      </c>
      <c r="G568" s="15" t="n">
        <v>35600</v>
      </c>
      <c r="H568" s="15" t="n">
        <v>40500</v>
      </c>
      <c r="I568" s="12" t="s">
        <v>3616</v>
      </c>
      <c r="J568" s="17" t="n">
        <v>47072</v>
      </c>
      <c r="K568" s="12" t="s">
        <v>1120</v>
      </c>
      <c r="L568" s="12" t="n">
        <v>7</v>
      </c>
      <c r="M568" s="15" t="n">
        <f aca="false">E568*G568</f>
        <v>356000</v>
      </c>
      <c r="N568" s="15" t="n">
        <f aca="false">E568*H568</f>
        <v>405000</v>
      </c>
      <c r="O568" s="18" t="n">
        <f aca="false">IF(H568=0,"",(H568-G568)/H568)</f>
        <v>0.120987654320988</v>
      </c>
      <c r="P568" s="12" t="n">
        <f aca="false">IF(J568="","",J568-README!$C$4)</f>
        <v>750</v>
      </c>
      <c r="Q568" s="12" t="str">
        <f aca="false">IF(E568=0,"Out of stock",IF(E568&lt;=F568,"Low stock","OK"))</f>
        <v>OK</v>
      </c>
      <c r="R568" s="12" t="str">
        <f aca="false">IF(J568="","No expiry",IF(P568&lt;0,"Expired",IF(P568&lt;=30,"Expiring &lt;=30 days","OK")))</f>
        <v>OK</v>
      </c>
      <c r="S568" s="12"/>
    </row>
    <row r="569" customFormat="false" ht="15" hidden="false" customHeight="false" outlineLevel="0" collapsed="false">
      <c r="A569" s="12" t="s">
        <v>3617</v>
      </c>
      <c r="B569" s="12" t="s">
        <v>1345</v>
      </c>
      <c r="C569" s="12" t="s">
        <v>2338</v>
      </c>
      <c r="D569" s="12" t="s">
        <v>2339</v>
      </c>
      <c r="E569" s="12" t="n">
        <v>11</v>
      </c>
      <c r="F569" s="12" t="n">
        <v>8</v>
      </c>
      <c r="G569" s="15" t="n">
        <v>11000</v>
      </c>
      <c r="H569" s="15" t="n">
        <v>13000</v>
      </c>
      <c r="I569" s="12" t="s">
        <v>3618</v>
      </c>
      <c r="J569" s="17" t="n">
        <v>46830</v>
      </c>
      <c r="K569" s="12" t="s">
        <v>1120</v>
      </c>
      <c r="L569" s="12" t="n">
        <v>7</v>
      </c>
      <c r="M569" s="15" t="n">
        <f aca="false">E569*G569</f>
        <v>121000</v>
      </c>
      <c r="N569" s="15" t="n">
        <f aca="false">E569*H569</f>
        <v>143000</v>
      </c>
      <c r="O569" s="18" t="n">
        <f aca="false">IF(H569=0,"",(H569-G569)/H569)</f>
        <v>0.153846153846154</v>
      </c>
      <c r="P569" s="12" t="n">
        <f aca="false">IF(J569="","",J569-README!$C$4)</f>
        <v>508</v>
      </c>
      <c r="Q569" s="12" t="str">
        <f aca="false">IF(E569=0,"Out of stock",IF(E569&lt;=F569,"Low stock","OK"))</f>
        <v>OK</v>
      </c>
      <c r="R569" s="12" t="str">
        <f aca="false">IF(J569="","No expiry",IF(P569&lt;0,"Expired",IF(P569&lt;=30,"Expiring &lt;=30 days","OK")))</f>
        <v>OK</v>
      </c>
      <c r="S569" s="12"/>
    </row>
    <row r="570" customFormat="false" ht="15" hidden="false" customHeight="false" outlineLevel="0" collapsed="false">
      <c r="A570" s="12" t="s">
        <v>3619</v>
      </c>
      <c r="B570" s="12" t="s">
        <v>1345</v>
      </c>
      <c r="C570" s="12" t="s">
        <v>2341</v>
      </c>
      <c r="D570" s="12" t="s">
        <v>2342</v>
      </c>
      <c r="E570" s="12" t="n">
        <v>40</v>
      </c>
      <c r="F570" s="12" t="n">
        <v>8</v>
      </c>
      <c r="G570" s="15" t="n">
        <v>81300</v>
      </c>
      <c r="H570" s="15" t="n">
        <v>91000</v>
      </c>
      <c r="I570" s="12" t="s">
        <v>3620</v>
      </c>
      <c r="J570" s="17" t="n">
        <v>47053</v>
      </c>
      <c r="K570" s="12" t="s">
        <v>1111</v>
      </c>
      <c r="L570" s="12" t="n">
        <v>0</v>
      </c>
      <c r="M570" s="15" t="n">
        <f aca="false">E570*G570</f>
        <v>3252000</v>
      </c>
      <c r="N570" s="15" t="n">
        <f aca="false">E570*H570</f>
        <v>3640000</v>
      </c>
      <c r="O570" s="18" t="n">
        <f aca="false">IF(H570=0,"",(H570-G570)/H570)</f>
        <v>0.106593406593407</v>
      </c>
      <c r="P570" s="12" t="n">
        <f aca="false">IF(J570="","",J570-README!$C$4)</f>
        <v>731</v>
      </c>
      <c r="Q570" s="12" t="str">
        <f aca="false">IF(E570=0,"Out of stock",IF(E570&lt;=F570,"Low stock","OK"))</f>
        <v>OK</v>
      </c>
      <c r="R570" s="12" t="str">
        <f aca="false">IF(J570="","No expiry",IF(P570&lt;0,"Expired",IF(P570&lt;=30,"Expiring &lt;=30 days","OK")))</f>
        <v>OK</v>
      </c>
      <c r="S570" s="12"/>
    </row>
    <row r="571" customFormat="false" ht="15" hidden="false" customHeight="false" outlineLevel="0" collapsed="false">
      <c r="A571" s="12" t="s">
        <v>3621</v>
      </c>
      <c r="B571" s="12" t="s">
        <v>1345</v>
      </c>
      <c r="C571" s="12" t="s">
        <v>2348</v>
      </c>
      <c r="D571" s="12" t="s">
        <v>2349</v>
      </c>
      <c r="E571" s="12" t="n">
        <v>18</v>
      </c>
      <c r="F571" s="12" t="n">
        <v>8</v>
      </c>
      <c r="G571" s="15" t="n">
        <v>27200</v>
      </c>
      <c r="H571" s="15" t="n">
        <v>32000</v>
      </c>
      <c r="I571" s="12" t="s">
        <v>3622</v>
      </c>
      <c r="J571" s="17" t="n">
        <v>46915</v>
      </c>
      <c r="K571" s="12" t="s">
        <v>1120</v>
      </c>
      <c r="L571" s="12" t="n">
        <v>12</v>
      </c>
      <c r="M571" s="15" t="n">
        <f aca="false">E571*G571</f>
        <v>489600</v>
      </c>
      <c r="N571" s="15" t="n">
        <f aca="false">E571*H571</f>
        <v>576000</v>
      </c>
      <c r="O571" s="18" t="n">
        <f aca="false">IF(H571=0,"",(H571-G571)/H571)</f>
        <v>0.15</v>
      </c>
      <c r="P571" s="12" t="n">
        <f aca="false">IF(J571="","",J571-README!$C$4)</f>
        <v>593</v>
      </c>
      <c r="Q571" s="12" t="str">
        <f aca="false">IF(E571=0,"Out of stock",IF(E571&lt;=F571,"Low stock","OK"))</f>
        <v>OK</v>
      </c>
      <c r="R571" s="12" t="str">
        <f aca="false">IF(J571="","No expiry",IF(P571&lt;0,"Expired",IF(P571&lt;=30,"Expiring &lt;=30 days","OK")))</f>
        <v>OK</v>
      </c>
      <c r="S571" s="12"/>
    </row>
    <row r="572" customFormat="false" ht="15" hidden="false" customHeight="false" outlineLevel="0" collapsed="false">
      <c r="A572" s="12" t="s">
        <v>3623</v>
      </c>
      <c r="B572" s="12" t="s">
        <v>1345</v>
      </c>
      <c r="C572" s="12" t="s">
        <v>2344</v>
      </c>
      <c r="D572" s="12" t="s">
        <v>2346</v>
      </c>
      <c r="E572" s="12" t="n">
        <v>44</v>
      </c>
      <c r="F572" s="12" t="n">
        <v>8</v>
      </c>
      <c r="G572" s="15" t="n">
        <v>8200</v>
      </c>
      <c r="H572" s="15" t="n">
        <v>9600</v>
      </c>
      <c r="I572" s="12" t="s">
        <v>3624</v>
      </c>
      <c r="J572" s="17" t="n">
        <v>46788</v>
      </c>
      <c r="K572" s="12" t="s">
        <v>1120</v>
      </c>
      <c r="L572" s="12" t="n">
        <v>30</v>
      </c>
      <c r="M572" s="15" t="n">
        <f aca="false">E572*G572</f>
        <v>360800</v>
      </c>
      <c r="N572" s="15" t="n">
        <f aca="false">E572*H572</f>
        <v>422400</v>
      </c>
      <c r="O572" s="18" t="n">
        <f aca="false">IF(H572=0,"",(H572-G572)/H572)</f>
        <v>0.145833333333333</v>
      </c>
      <c r="P572" s="12" t="n">
        <f aca="false">IF(J572="","",J572-README!$C$4)</f>
        <v>466</v>
      </c>
      <c r="Q572" s="12" t="str">
        <f aca="false">IF(E572=0,"Out of stock",IF(E572&lt;=F572,"Low stock","OK"))</f>
        <v>OK</v>
      </c>
      <c r="R572" s="12" t="str">
        <f aca="false">IF(J572="","No expiry",IF(P572&lt;0,"Expired",IF(P572&lt;=30,"Expiring &lt;=30 days","OK")))</f>
        <v>OK</v>
      </c>
      <c r="S572" s="12"/>
    </row>
    <row r="573" customFormat="false" ht="15" hidden="false" customHeight="false" outlineLevel="0" collapsed="false">
      <c r="A573" s="12" t="s">
        <v>3625</v>
      </c>
      <c r="B573" s="12" t="s">
        <v>1345</v>
      </c>
      <c r="C573" s="12" t="s">
        <v>2354</v>
      </c>
      <c r="D573" s="12" t="s">
        <v>2355</v>
      </c>
      <c r="E573" s="12" t="n">
        <v>53</v>
      </c>
      <c r="F573" s="12" t="n">
        <v>8</v>
      </c>
      <c r="G573" s="15" t="n">
        <v>6200</v>
      </c>
      <c r="H573" s="15" t="n">
        <v>7500</v>
      </c>
      <c r="I573" s="12" t="s">
        <v>3626</v>
      </c>
      <c r="J573" s="17" t="n">
        <v>46529</v>
      </c>
      <c r="K573" s="12" t="s">
        <v>1120</v>
      </c>
      <c r="L573" s="12" t="n">
        <v>37</v>
      </c>
      <c r="M573" s="15" t="n">
        <f aca="false">E573*G573</f>
        <v>328600</v>
      </c>
      <c r="N573" s="15" t="n">
        <f aca="false">E573*H573</f>
        <v>397500</v>
      </c>
      <c r="O573" s="18" t="n">
        <f aca="false">IF(H573=0,"",(H573-G573)/H573)</f>
        <v>0.173333333333333</v>
      </c>
      <c r="P573" s="12" t="n">
        <f aca="false">IF(J573="","",J573-README!$C$4)</f>
        <v>207</v>
      </c>
      <c r="Q573" s="12" t="str">
        <f aca="false">IF(E573=0,"Out of stock",IF(E573&lt;=F573,"Low stock","OK"))</f>
        <v>OK</v>
      </c>
      <c r="R573" s="12" t="str">
        <f aca="false">IF(J573="","No expiry",IF(P573&lt;0,"Expired",IF(P573&lt;=30,"Expiring &lt;=30 days","OK")))</f>
        <v>OK</v>
      </c>
      <c r="S573" s="12"/>
    </row>
    <row r="574" customFormat="false" ht="15" hidden="false" customHeight="false" outlineLevel="0" collapsed="false">
      <c r="A574" s="12" t="s">
        <v>3627</v>
      </c>
      <c r="B574" s="12" t="s">
        <v>1345</v>
      </c>
      <c r="C574" s="12" t="s">
        <v>2361</v>
      </c>
      <c r="D574" s="12" t="s">
        <v>2363</v>
      </c>
      <c r="E574" s="12" t="n">
        <v>31</v>
      </c>
      <c r="F574" s="12" t="n">
        <v>8</v>
      </c>
      <c r="G574" s="15" t="n">
        <v>13200</v>
      </c>
      <c r="H574" s="15" t="n">
        <v>16000</v>
      </c>
      <c r="I574" s="12" t="s">
        <v>3628</v>
      </c>
      <c r="J574" s="17" t="n">
        <v>46504</v>
      </c>
      <c r="K574" s="12" t="s">
        <v>1120</v>
      </c>
      <c r="L574" s="12" t="n">
        <v>21</v>
      </c>
      <c r="M574" s="15" t="n">
        <f aca="false">E574*G574</f>
        <v>409200</v>
      </c>
      <c r="N574" s="15" t="n">
        <f aca="false">E574*H574</f>
        <v>496000</v>
      </c>
      <c r="O574" s="18" t="n">
        <f aca="false">IF(H574=0,"",(H574-G574)/H574)</f>
        <v>0.175</v>
      </c>
      <c r="P574" s="12" t="n">
        <f aca="false">IF(J574="","",J574-README!$C$4)</f>
        <v>182</v>
      </c>
      <c r="Q574" s="12" t="str">
        <f aca="false">IF(E574=0,"Out of stock",IF(E574&lt;=F574,"Low stock","OK"))</f>
        <v>OK</v>
      </c>
      <c r="R574" s="12" t="str">
        <f aca="false">IF(J574="","No expiry",IF(P574&lt;0,"Expired",IF(P574&lt;=30,"Expiring &lt;=30 days","OK")))</f>
        <v>OK</v>
      </c>
      <c r="S574" s="12"/>
    </row>
    <row r="575" customFormat="false" ht="15" hidden="false" customHeight="false" outlineLevel="0" collapsed="false">
      <c r="A575" s="12" t="s">
        <v>3629</v>
      </c>
      <c r="B575" s="12" t="s">
        <v>1345</v>
      </c>
      <c r="C575" s="12" t="s">
        <v>2373</v>
      </c>
      <c r="D575" s="12" t="s">
        <v>2375</v>
      </c>
      <c r="E575" s="12" t="n">
        <v>39</v>
      </c>
      <c r="F575" s="12" t="n">
        <v>6</v>
      </c>
      <c r="G575" s="15" t="n">
        <v>20900</v>
      </c>
      <c r="H575" s="15" t="n">
        <v>23500</v>
      </c>
      <c r="I575" s="12" t="s">
        <v>3630</v>
      </c>
      <c r="J575" s="17" t="n">
        <v>46403</v>
      </c>
      <c r="K575" s="12" t="s">
        <v>1120</v>
      </c>
      <c r="L575" s="12" t="n">
        <v>27</v>
      </c>
      <c r="M575" s="15" t="n">
        <f aca="false">E575*G575</f>
        <v>815100</v>
      </c>
      <c r="N575" s="15" t="n">
        <f aca="false">E575*H575</f>
        <v>916500</v>
      </c>
      <c r="O575" s="18" t="n">
        <f aca="false">IF(H575=0,"",(H575-G575)/H575)</f>
        <v>0.11063829787234</v>
      </c>
      <c r="P575" s="12" t="n">
        <f aca="false">IF(J575="","",J575-README!$C$4)</f>
        <v>81</v>
      </c>
      <c r="Q575" s="12" t="str">
        <f aca="false">IF(E575=0,"Out of stock",IF(E575&lt;=F575,"Low stock","OK"))</f>
        <v>OK</v>
      </c>
      <c r="R575" s="12" t="str">
        <f aca="false">IF(J575="","No expiry",IF(P575&lt;0,"Expired",IF(P575&lt;=30,"Expiring &lt;=30 days","OK")))</f>
        <v>OK</v>
      </c>
      <c r="S575" s="12"/>
    </row>
    <row r="576" customFormat="false" ht="15" hidden="false" customHeight="false" outlineLevel="0" collapsed="false">
      <c r="A576" s="12" t="s">
        <v>3631</v>
      </c>
      <c r="B576" s="12" t="s">
        <v>1345</v>
      </c>
      <c r="C576" s="12" t="s">
        <v>2365</v>
      </c>
      <c r="D576" s="12" t="s">
        <v>2367</v>
      </c>
      <c r="E576" s="12" t="n">
        <v>39</v>
      </c>
      <c r="F576" s="12" t="n">
        <v>6</v>
      </c>
      <c r="G576" s="15" t="n">
        <v>3900</v>
      </c>
      <c r="H576" s="15" t="n">
        <v>4300</v>
      </c>
      <c r="I576" s="12" t="s">
        <v>3632</v>
      </c>
      <c r="J576" s="17" t="n">
        <v>46370</v>
      </c>
      <c r="K576" s="12" t="s">
        <v>1120</v>
      </c>
      <c r="L576" s="12" t="n">
        <v>27</v>
      </c>
      <c r="M576" s="15" t="n">
        <f aca="false">E576*G576</f>
        <v>152100</v>
      </c>
      <c r="N576" s="15" t="n">
        <f aca="false">E576*H576</f>
        <v>167700</v>
      </c>
      <c r="O576" s="18" t="n">
        <f aca="false">IF(H576=0,"",(H576-G576)/H576)</f>
        <v>0.0930232558139535</v>
      </c>
      <c r="P576" s="12" t="n">
        <f aca="false">IF(J576="","",J576-README!$C$4)</f>
        <v>48</v>
      </c>
      <c r="Q576" s="12" t="str">
        <f aca="false">IF(E576=0,"Out of stock",IF(E576&lt;=F576,"Low stock","OK"))</f>
        <v>OK</v>
      </c>
      <c r="R576" s="12" t="str">
        <f aca="false">IF(J576="","No expiry",IF(P576&lt;0,"Expired",IF(P576&lt;=30,"Expiring &lt;=30 days","OK")))</f>
        <v>OK</v>
      </c>
      <c r="S576" s="12"/>
    </row>
    <row r="577" customFormat="false" ht="15" hidden="false" customHeight="false" outlineLevel="0" collapsed="false">
      <c r="A577" s="12" t="s">
        <v>3633</v>
      </c>
      <c r="B577" s="12" t="s">
        <v>1345</v>
      </c>
      <c r="C577" s="12" t="s">
        <v>2369</v>
      </c>
      <c r="D577" s="12" t="s">
        <v>2371</v>
      </c>
      <c r="E577" s="12" t="n">
        <v>21</v>
      </c>
      <c r="F577" s="12" t="n">
        <v>6</v>
      </c>
      <c r="G577" s="15" t="n">
        <v>11300</v>
      </c>
      <c r="H577" s="15" t="n">
        <v>14000</v>
      </c>
      <c r="I577" s="12" t="s">
        <v>3634</v>
      </c>
      <c r="J577" s="17" t="n">
        <v>46371</v>
      </c>
      <c r="K577" s="12" t="s">
        <v>1120</v>
      </c>
      <c r="L577" s="12" t="n">
        <v>14</v>
      </c>
      <c r="M577" s="15" t="n">
        <f aca="false">E577*G577</f>
        <v>237300</v>
      </c>
      <c r="N577" s="15" t="n">
        <f aca="false">E577*H577</f>
        <v>294000</v>
      </c>
      <c r="O577" s="18" t="n">
        <f aca="false">IF(H577=0,"",(H577-G577)/H577)</f>
        <v>0.192857142857143</v>
      </c>
      <c r="P577" s="12" t="n">
        <f aca="false">IF(J577="","",J577-README!$C$4)</f>
        <v>49</v>
      </c>
      <c r="Q577" s="12" t="str">
        <f aca="false">IF(E577=0,"Out of stock",IF(E577&lt;=F577,"Low stock","OK"))</f>
        <v>OK</v>
      </c>
      <c r="R577" s="12" t="str">
        <f aca="false">IF(J577="","No expiry",IF(P577&lt;0,"Expired",IF(P577&lt;=30,"Expiring &lt;=30 days","OK")))</f>
        <v>OK</v>
      </c>
      <c r="S577" s="12"/>
    </row>
    <row r="578" customFormat="false" ht="15" hidden="false" customHeight="false" outlineLevel="0" collapsed="false">
      <c r="A578" s="12" t="s">
        <v>3635</v>
      </c>
      <c r="B578" s="12" t="s">
        <v>1345</v>
      </c>
      <c r="C578" s="12" t="s">
        <v>2377</v>
      </c>
      <c r="D578" s="12" t="s">
        <v>2378</v>
      </c>
      <c r="E578" s="12" t="n">
        <v>23</v>
      </c>
      <c r="F578" s="12" t="n">
        <v>6</v>
      </c>
      <c r="G578" s="15" t="n">
        <v>2700</v>
      </c>
      <c r="H578" s="15" t="n">
        <v>3200</v>
      </c>
      <c r="I578" s="12" t="s">
        <v>3636</v>
      </c>
      <c r="J578" s="17" t="n">
        <v>46435</v>
      </c>
      <c r="K578" s="12" t="s">
        <v>1120</v>
      </c>
      <c r="L578" s="12" t="n">
        <v>16</v>
      </c>
      <c r="M578" s="15" t="n">
        <f aca="false">E578*G578</f>
        <v>62100</v>
      </c>
      <c r="N578" s="15" t="n">
        <f aca="false">E578*H578</f>
        <v>73600</v>
      </c>
      <c r="O578" s="18" t="n">
        <f aca="false">IF(H578=0,"",(H578-G578)/H578)</f>
        <v>0.15625</v>
      </c>
      <c r="P578" s="12" t="n">
        <f aca="false">IF(J578="","",J578-README!$C$4)</f>
        <v>113</v>
      </c>
      <c r="Q578" s="12" t="str">
        <f aca="false">IF(E578=0,"Out of stock",IF(E578&lt;=F578,"Low stock","OK"))</f>
        <v>OK</v>
      </c>
      <c r="R578" s="12" t="str">
        <f aca="false">IF(J578="","No expiry",IF(P578&lt;0,"Expired",IF(P578&lt;=30,"Expiring &lt;=30 days","OK")))</f>
        <v>OK</v>
      </c>
      <c r="S578" s="12"/>
    </row>
    <row r="579" customFormat="false" ht="15" hidden="false" customHeight="false" outlineLevel="0" collapsed="false">
      <c r="A579" s="12" t="s">
        <v>3637</v>
      </c>
      <c r="B579" s="12" t="s">
        <v>1345</v>
      </c>
      <c r="C579" s="12" t="s">
        <v>2380</v>
      </c>
      <c r="D579" s="12" t="s">
        <v>2382</v>
      </c>
      <c r="E579" s="12" t="n">
        <v>29</v>
      </c>
      <c r="F579" s="12" t="n">
        <v>6</v>
      </c>
      <c r="G579" s="15" t="n">
        <v>4400</v>
      </c>
      <c r="H579" s="15" t="n">
        <v>5400</v>
      </c>
      <c r="I579" s="12" t="s">
        <v>3638</v>
      </c>
      <c r="J579" s="17" t="n">
        <v>46394</v>
      </c>
      <c r="K579" s="12" t="s">
        <v>1120</v>
      </c>
      <c r="L579" s="12" t="n">
        <v>20</v>
      </c>
      <c r="M579" s="15" t="n">
        <f aca="false">E579*G579</f>
        <v>127600</v>
      </c>
      <c r="N579" s="15" t="n">
        <f aca="false">E579*H579</f>
        <v>156600</v>
      </c>
      <c r="O579" s="18" t="n">
        <f aca="false">IF(H579=0,"",(H579-G579)/H579)</f>
        <v>0.185185185185185</v>
      </c>
      <c r="P579" s="12" t="n">
        <f aca="false">IF(J579="","",J579-README!$C$4)</f>
        <v>72</v>
      </c>
      <c r="Q579" s="12" t="str">
        <f aca="false">IF(E579=0,"Out of stock",IF(E579&lt;=F579,"Low stock","OK"))</f>
        <v>OK</v>
      </c>
      <c r="R579" s="12" t="str">
        <f aca="false">IF(J579="","No expiry",IF(P579&lt;0,"Expired",IF(P579&lt;=30,"Expiring &lt;=30 days","OK")))</f>
        <v>OK</v>
      </c>
      <c r="S579" s="12"/>
    </row>
    <row r="580" customFormat="false" ht="15" hidden="false" customHeight="false" outlineLevel="0" collapsed="false">
      <c r="A580" s="12" t="s">
        <v>3639</v>
      </c>
      <c r="B580" s="12" t="s">
        <v>1345</v>
      </c>
      <c r="C580" s="12" t="s">
        <v>2387</v>
      </c>
      <c r="D580" s="12" t="s">
        <v>2388</v>
      </c>
      <c r="E580" s="12" t="n">
        <v>4</v>
      </c>
      <c r="F580" s="12" t="n">
        <v>3</v>
      </c>
      <c r="G580" s="15" t="n">
        <v>23700</v>
      </c>
      <c r="H580" s="15" t="n">
        <v>27000</v>
      </c>
      <c r="I580" s="12" t="s">
        <v>3640</v>
      </c>
      <c r="J580" s="17" t="n">
        <v>46315</v>
      </c>
      <c r="K580" s="12" t="s">
        <v>1120</v>
      </c>
      <c r="L580" s="12" t="n">
        <v>2</v>
      </c>
      <c r="M580" s="15" t="n">
        <f aca="false">E580*G580</f>
        <v>94800</v>
      </c>
      <c r="N580" s="15" t="n">
        <f aca="false">E580*H580</f>
        <v>108000</v>
      </c>
      <c r="O580" s="18" t="n">
        <f aca="false">IF(H580=0,"",(H580-G580)/H580)</f>
        <v>0.122222222222222</v>
      </c>
      <c r="P580" s="12" t="n">
        <f aca="false">IF(J580="","",J580-README!$C$4)</f>
        <v>-7</v>
      </c>
      <c r="Q580" s="12" t="str">
        <f aca="false">IF(E580=0,"Out of stock",IF(E580&lt;=F580,"Low stock","OK"))</f>
        <v>OK</v>
      </c>
      <c r="R580" s="12" t="str">
        <f aca="false">IF(J580="","No expiry",IF(P580&lt;0,"Expired",IF(P580&lt;=30,"Expiring &lt;=30 days","OK")))</f>
        <v>Expired</v>
      </c>
      <c r="S580" s="19" t="s">
        <v>3641</v>
      </c>
    </row>
    <row r="581" customFormat="false" ht="15" hidden="false" customHeight="false" outlineLevel="0" collapsed="false">
      <c r="A581" s="12" t="s">
        <v>3642</v>
      </c>
      <c r="B581" s="12" t="s">
        <v>1345</v>
      </c>
      <c r="C581" s="12" t="s">
        <v>2393</v>
      </c>
      <c r="D581" s="12" t="s">
        <v>2394</v>
      </c>
      <c r="E581" s="12" t="n">
        <v>7</v>
      </c>
      <c r="F581" s="12" t="n">
        <v>6</v>
      </c>
      <c r="G581" s="15" t="n">
        <v>23500</v>
      </c>
      <c r="H581" s="15" t="n">
        <v>27000</v>
      </c>
      <c r="I581" s="12" t="s">
        <v>3643</v>
      </c>
      <c r="J581" s="17" t="n">
        <v>46608</v>
      </c>
      <c r="K581" s="12" t="s">
        <v>1120</v>
      </c>
      <c r="L581" s="12" t="n">
        <v>4</v>
      </c>
      <c r="M581" s="15" t="n">
        <f aca="false">E581*G581</f>
        <v>164500</v>
      </c>
      <c r="N581" s="15" t="n">
        <f aca="false">E581*H581</f>
        <v>189000</v>
      </c>
      <c r="O581" s="18" t="n">
        <f aca="false">IF(H581=0,"",(H581-G581)/H581)</f>
        <v>0.12962962962963</v>
      </c>
      <c r="P581" s="12" t="n">
        <f aca="false">IF(J581="","",J581-README!$C$4)</f>
        <v>286</v>
      </c>
      <c r="Q581" s="12" t="str">
        <f aca="false">IF(E581=0,"Out of stock",IF(E581&lt;=F581,"Low stock","OK"))</f>
        <v>OK</v>
      </c>
      <c r="R581" s="12" t="str">
        <f aca="false">IF(J581="","No expiry",IF(P581&lt;0,"Expired",IF(P581&lt;=30,"Expiring &lt;=30 days","OK")))</f>
        <v>OK</v>
      </c>
      <c r="S581" s="12"/>
    </row>
    <row r="582" customFormat="false" ht="15" hidden="false" customHeight="false" outlineLevel="0" collapsed="false">
      <c r="A582" s="12" t="s">
        <v>3644</v>
      </c>
      <c r="B582" s="12" t="s">
        <v>1345</v>
      </c>
      <c r="C582" s="12" t="s">
        <v>2390</v>
      </c>
      <c r="D582" s="12" t="s">
        <v>2391</v>
      </c>
      <c r="E582" s="12" t="n">
        <v>32</v>
      </c>
      <c r="F582" s="12" t="n">
        <v>6</v>
      </c>
      <c r="G582" s="15" t="n">
        <v>4600</v>
      </c>
      <c r="H582" s="15" t="n">
        <v>5400</v>
      </c>
      <c r="I582" s="12" t="s">
        <v>3645</v>
      </c>
      <c r="J582" s="17" t="n">
        <v>46551</v>
      </c>
      <c r="K582" s="12" t="s">
        <v>1120</v>
      </c>
      <c r="L582" s="12" t="n">
        <v>22</v>
      </c>
      <c r="M582" s="15" t="n">
        <f aca="false">E582*G582</f>
        <v>147200</v>
      </c>
      <c r="N582" s="15" t="n">
        <f aca="false">E582*H582</f>
        <v>172800</v>
      </c>
      <c r="O582" s="18" t="n">
        <f aca="false">IF(H582=0,"",(H582-G582)/H582)</f>
        <v>0.148148148148148</v>
      </c>
      <c r="P582" s="12" t="n">
        <f aca="false">IF(J582="","",J582-README!$C$4)</f>
        <v>229</v>
      </c>
      <c r="Q582" s="12" t="str">
        <f aca="false">IF(E582=0,"Out of stock",IF(E582&lt;=F582,"Low stock","OK"))</f>
        <v>OK</v>
      </c>
      <c r="R582" s="12" t="str">
        <f aca="false">IF(J582="","No expiry",IF(P582&lt;0,"Expired",IF(P582&lt;=30,"Expiring &lt;=30 days","OK")))</f>
        <v>OK</v>
      </c>
      <c r="S582" s="12"/>
    </row>
    <row r="583" customFormat="false" ht="15" hidden="false" customHeight="false" outlineLevel="0" collapsed="false">
      <c r="A583" s="12" t="s">
        <v>3646</v>
      </c>
      <c r="B583" s="12" t="s">
        <v>1345</v>
      </c>
      <c r="C583" s="12" t="s">
        <v>2396</v>
      </c>
      <c r="D583" s="12" t="s">
        <v>2397</v>
      </c>
      <c r="E583" s="12" t="n">
        <v>32</v>
      </c>
      <c r="F583" s="12" t="n">
        <v>6</v>
      </c>
      <c r="G583" s="15" t="n">
        <v>39200</v>
      </c>
      <c r="H583" s="15" t="n">
        <v>48000</v>
      </c>
      <c r="I583" s="12" t="s">
        <v>3647</v>
      </c>
      <c r="J583" s="17" t="n">
        <v>46408</v>
      </c>
      <c r="K583" s="12" t="s">
        <v>1120</v>
      </c>
      <c r="L583" s="12" t="n">
        <v>22</v>
      </c>
      <c r="M583" s="15" t="n">
        <f aca="false">E583*G583</f>
        <v>1254400</v>
      </c>
      <c r="N583" s="15" t="n">
        <f aca="false">E583*H583</f>
        <v>1536000</v>
      </c>
      <c r="O583" s="18" t="n">
        <f aca="false">IF(H583=0,"",(H583-G583)/H583)</f>
        <v>0.183333333333333</v>
      </c>
      <c r="P583" s="12" t="n">
        <f aca="false">IF(J583="","",J583-README!$C$4)</f>
        <v>86</v>
      </c>
      <c r="Q583" s="12" t="str">
        <f aca="false">IF(E583=0,"Out of stock",IF(E583&lt;=F583,"Low stock","OK"))</f>
        <v>OK</v>
      </c>
      <c r="R583" s="12" t="str">
        <f aca="false">IF(J583="","No expiry",IF(P583&lt;0,"Expired",IF(P583&lt;=30,"Expiring &lt;=30 days","OK")))</f>
        <v>OK</v>
      </c>
      <c r="S583" s="12"/>
    </row>
    <row r="584" customFormat="false" ht="15" hidden="false" customHeight="false" outlineLevel="0" collapsed="false">
      <c r="A584" s="12" t="s">
        <v>3648</v>
      </c>
      <c r="B584" s="12" t="s">
        <v>1345</v>
      </c>
      <c r="C584" s="12" t="s">
        <v>2399</v>
      </c>
      <c r="D584" s="12" t="s">
        <v>2400</v>
      </c>
      <c r="E584" s="12" t="n">
        <v>24</v>
      </c>
      <c r="F584" s="12" t="n">
        <v>6</v>
      </c>
      <c r="G584" s="15" t="n">
        <v>25900</v>
      </c>
      <c r="H584" s="15" t="n">
        <v>32000</v>
      </c>
      <c r="I584" s="12" t="s">
        <v>3649</v>
      </c>
      <c r="J584" s="17" t="n">
        <v>46648</v>
      </c>
      <c r="K584" s="12" t="s">
        <v>1120</v>
      </c>
      <c r="L584" s="12" t="n">
        <v>16</v>
      </c>
      <c r="M584" s="15" t="n">
        <f aca="false">E584*G584</f>
        <v>621600</v>
      </c>
      <c r="N584" s="15" t="n">
        <f aca="false">E584*H584</f>
        <v>768000</v>
      </c>
      <c r="O584" s="18" t="n">
        <f aca="false">IF(H584=0,"",(H584-G584)/H584)</f>
        <v>0.190625</v>
      </c>
      <c r="P584" s="12" t="n">
        <f aca="false">IF(J584="","",J584-README!$C$4)</f>
        <v>326</v>
      </c>
      <c r="Q584" s="12" t="str">
        <f aca="false">IF(E584=0,"Out of stock",IF(E584&lt;=F584,"Low stock","OK"))</f>
        <v>OK</v>
      </c>
      <c r="R584" s="12" t="str">
        <f aca="false">IF(J584="","No expiry",IF(P584&lt;0,"Expired",IF(P584&lt;=30,"Expiring &lt;=30 days","OK")))</f>
        <v>OK</v>
      </c>
      <c r="S584" s="12"/>
    </row>
    <row r="585" customFormat="false" ht="15" hidden="false" customHeight="false" outlineLevel="0" collapsed="false">
      <c r="A585" s="12" t="s">
        <v>3650</v>
      </c>
      <c r="B585" s="12" t="s">
        <v>1345</v>
      </c>
      <c r="C585" s="12" t="s">
        <v>2402</v>
      </c>
      <c r="D585" s="12" t="s">
        <v>2404</v>
      </c>
      <c r="E585" s="12" t="n">
        <v>23</v>
      </c>
      <c r="F585" s="12" t="n">
        <v>6</v>
      </c>
      <c r="G585" s="15" t="n">
        <v>49800</v>
      </c>
      <c r="H585" s="15" t="n">
        <v>59000</v>
      </c>
      <c r="I585" s="12" t="s">
        <v>3651</v>
      </c>
      <c r="J585" s="17" t="n">
        <v>46437</v>
      </c>
      <c r="K585" s="12" t="s">
        <v>1120</v>
      </c>
      <c r="L585" s="12" t="n">
        <v>16</v>
      </c>
      <c r="M585" s="15" t="n">
        <f aca="false">E585*G585</f>
        <v>1145400</v>
      </c>
      <c r="N585" s="15" t="n">
        <f aca="false">E585*H585</f>
        <v>1357000</v>
      </c>
      <c r="O585" s="18" t="n">
        <f aca="false">IF(H585=0,"",(H585-G585)/H585)</f>
        <v>0.155932203389831</v>
      </c>
      <c r="P585" s="12" t="n">
        <f aca="false">IF(J585="","",J585-README!$C$4)</f>
        <v>115</v>
      </c>
      <c r="Q585" s="12" t="str">
        <f aca="false">IF(E585=0,"Out of stock",IF(E585&lt;=F585,"Low stock","OK"))</f>
        <v>OK</v>
      </c>
      <c r="R585" s="12" t="str">
        <f aca="false">IF(J585="","No expiry",IF(P585&lt;0,"Expired",IF(P585&lt;=30,"Expiring &lt;=30 days","OK")))</f>
        <v>OK</v>
      </c>
      <c r="S585" s="12"/>
    </row>
    <row r="586" customFormat="false" ht="15" hidden="false" customHeight="false" outlineLevel="0" collapsed="false">
      <c r="A586" s="12" t="s">
        <v>3652</v>
      </c>
      <c r="B586" s="12" t="s">
        <v>1345</v>
      </c>
      <c r="C586" s="12" t="s">
        <v>2406</v>
      </c>
      <c r="D586" s="12" t="s">
        <v>2407</v>
      </c>
      <c r="E586" s="12" t="n">
        <v>26</v>
      </c>
      <c r="F586" s="12" t="n">
        <v>6</v>
      </c>
      <c r="G586" s="15" t="n">
        <v>35200</v>
      </c>
      <c r="H586" s="15" t="n">
        <v>43000</v>
      </c>
      <c r="I586" s="12" t="s">
        <v>3653</v>
      </c>
      <c r="J586" s="17" t="n">
        <v>46677</v>
      </c>
      <c r="K586" s="12" t="s">
        <v>1120</v>
      </c>
      <c r="L586" s="12" t="n">
        <v>18</v>
      </c>
      <c r="M586" s="15" t="n">
        <f aca="false">E586*G586</f>
        <v>915200</v>
      </c>
      <c r="N586" s="15" t="n">
        <f aca="false">E586*H586</f>
        <v>1118000</v>
      </c>
      <c r="O586" s="18" t="n">
        <f aca="false">IF(H586=0,"",(H586-G586)/H586)</f>
        <v>0.181395348837209</v>
      </c>
      <c r="P586" s="12" t="n">
        <f aca="false">IF(J586="","",J586-README!$C$4)</f>
        <v>355</v>
      </c>
      <c r="Q586" s="12" t="str">
        <f aca="false">IF(E586=0,"Out of stock",IF(E586&lt;=F586,"Low stock","OK"))</f>
        <v>OK</v>
      </c>
      <c r="R586" s="12" t="str">
        <f aca="false">IF(J586="","No expiry",IF(P586&lt;0,"Expired",IF(P586&lt;=30,"Expiring &lt;=30 days","OK")))</f>
        <v>OK</v>
      </c>
      <c r="S586" s="12"/>
    </row>
    <row r="587" customFormat="false" ht="15" hidden="false" customHeight="false" outlineLevel="0" collapsed="false">
      <c r="A587" s="12" t="s">
        <v>3654</v>
      </c>
      <c r="B587" s="12" t="s">
        <v>1345</v>
      </c>
      <c r="C587" s="12" t="s">
        <v>2409</v>
      </c>
      <c r="D587" s="12" t="s">
        <v>2410</v>
      </c>
      <c r="E587" s="12" t="n">
        <v>18</v>
      </c>
      <c r="F587" s="12" t="n">
        <v>6</v>
      </c>
      <c r="G587" s="15" t="n">
        <v>27000</v>
      </c>
      <c r="H587" s="15" t="n">
        <v>32000</v>
      </c>
      <c r="I587" s="12" t="s">
        <v>3655</v>
      </c>
      <c r="J587" s="17" t="n">
        <v>46527</v>
      </c>
      <c r="K587" s="12" t="s">
        <v>1120</v>
      </c>
      <c r="L587" s="12" t="n">
        <v>12</v>
      </c>
      <c r="M587" s="15" t="n">
        <f aca="false">E587*G587</f>
        <v>486000</v>
      </c>
      <c r="N587" s="15" t="n">
        <f aca="false">E587*H587</f>
        <v>576000</v>
      </c>
      <c r="O587" s="18" t="n">
        <f aca="false">IF(H587=0,"",(H587-G587)/H587)</f>
        <v>0.15625</v>
      </c>
      <c r="P587" s="12" t="n">
        <f aca="false">IF(J587="","",J587-README!$C$4)</f>
        <v>205</v>
      </c>
      <c r="Q587" s="12" t="str">
        <f aca="false">IF(E587=0,"Out of stock",IF(E587&lt;=F587,"Low stock","OK"))</f>
        <v>OK</v>
      </c>
      <c r="R587" s="12" t="str">
        <f aca="false">IF(J587="","No expiry",IF(P587&lt;0,"Expired",IF(P587&lt;=30,"Expiring &lt;=30 days","OK")))</f>
        <v>OK</v>
      </c>
      <c r="S587" s="12"/>
    </row>
    <row r="588" customFormat="false" ht="15" hidden="false" customHeight="false" outlineLevel="0" collapsed="false">
      <c r="A588" s="12" t="s">
        <v>3656</v>
      </c>
      <c r="B588" s="12" t="s">
        <v>1345</v>
      </c>
      <c r="C588" s="12" t="s">
        <v>2412</v>
      </c>
      <c r="D588" s="12" t="s">
        <v>2413</v>
      </c>
      <c r="E588" s="12" t="n">
        <v>24</v>
      </c>
      <c r="F588" s="12" t="n">
        <v>8</v>
      </c>
      <c r="G588" s="15" t="n">
        <v>16200</v>
      </c>
      <c r="H588" s="15" t="n">
        <v>19500</v>
      </c>
      <c r="I588" s="12" t="s">
        <v>3657</v>
      </c>
      <c r="J588" s="17" t="n">
        <v>47207</v>
      </c>
      <c r="K588" s="12" t="s">
        <v>1120</v>
      </c>
      <c r="L588" s="12" t="n">
        <v>16</v>
      </c>
      <c r="M588" s="15" t="n">
        <f aca="false">E588*G588</f>
        <v>388800</v>
      </c>
      <c r="N588" s="15" t="n">
        <f aca="false">E588*H588</f>
        <v>468000</v>
      </c>
      <c r="O588" s="18" t="n">
        <f aca="false">IF(H588=0,"",(H588-G588)/H588)</f>
        <v>0.169230769230769</v>
      </c>
      <c r="P588" s="12" t="n">
        <f aca="false">IF(J588="","",J588-README!$C$4)</f>
        <v>885</v>
      </c>
      <c r="Q588" s="12" t="str">
        <f aca="false">IF(E588=0,"Out of stock",IF(E588&lt;=F588,"Low stock","OK"))</f>
        <v>OK</v>
      </c>
      <c r="R588" s="12" t="str">
        <f aca="false">IF(J588="","No expiry",IF(P588&lt;0,"Expired",IF(P588&lt;=30,"Expiring &lt;=30 days","OK")))</f>
        <v>OK</v>
      </c>
      <c r="S588" s="12"/>
    </row>
    <row r="589" customFormat="false" ht="15" hidden="false" customHeight="false" outlineLevel="0" collapsed="false">
      <c r="A589" s="12" t="s">
        <v>3658</v>
      </c>
      <c r="B589" s="12" t="s">
        <v>1345</v>
      </c>
      <c r="C589" s="12" t="s">
        <v>2419</v>
      </c>
      <c r="D589" s="12" t="s">
        <v>2420</v>
      </c>
      <c r="E589" s="12" t="n">
        <v>50</v>
      </c>
      <c r="F589" s="12" t="n">
        <v>8</v>
      </c>
      <c r="G589" s="15" t="n">
        <v>21800</v>
      </c>
      <c r="H589" s="15" t="n">
        <v>27000</v>
      </c>
      <c r="I589" s="12" t="s">
        <v>3659</v>
      </c>
      <c r="J589" s="17" t="n">
        <v>46926</v>
      </c>
      <c r="K589" s="12" t="s">
        <v>1120</v>
      </c>
      <c r="L589" s="12" t="n">
        <v>35</v>
      </c>
      <c r="M589" s="15" t="n">
        <f aca="false">E589*G589</f>
        <v>1090000</v>
      </c>
      <c r="N589" s="15" t="n">
        <f aca="false">E589*H589</f>
        <v>1350000</v>
      </c>
      <c r="O589" s="18" t="n">
        <f aca="false">IF(H589=0,"",(H589-G589)/H589)</f>
        <v>0.192592592592593</v>
      </c>
      <c r="P589" s="12" t="n">
        <f aca="false">IF(J589="","",J589-README!$C$4)</f>
        <v>604</v>
      </c>
      <c r="Q589" s="12" t="str">
        <f aca="false">IF(E589=0,"Out of stock",IF(E589&lt;=F589,"Low stock","OK"))</f>
        <v>OK</v>
      </c>
      <c r="R589" s="12" t="str">
        <f aca="false">IF(J589="","No expiry",IF(P589&lt;0,"Expired",IF(P589&lt;=30,"Expiring &lt;=30 days","OK")))</f>
        <v>OK</v>
      </c>
      <c r="S589" s="12"/>
    </row>
    <row r="590" customFormat="false" ht="15" hidden="false" customHeight="false" outlineLevel="0" collapsed="false">
      <c r="A590" s="12" t="s">
        <v>3660</v>
      </c>
      <c r="B590" s="12" t="s">
        <v>1345</v>
      </c>
      <c r="C590" s="12" t="s">
        <v>2422</v>
      </c>
      <c r="D590" s="12" t="s">
        <v>2424</v>
      </c>
      <c r="E590" s="12" t="n">
        <v>6</v>
      </c>
      <c r="F590" s="12" t="n">
        <v>2</v>
      </c>
      <c r="G590" s="15" t="n">
        <v>13700</v>
      </c>
      <c r="H590" s="15" t="n">
        <v>16000</v>
      </c>
      <c r="I590" s="12" t="s">
        <v>3661</v>
      </c>
      <c r="J590" s="17" t="n">
        <v>46682</v>
      </c>
      <c r="K590" s="12" t="s">
        <v>1120</v>
      </c>
      <c r="L590" s="12" t="n">
        <v>4</v>
      </c>
      <c r="M590" s="15" t="n">
        <f aca="false">E590*G590</f>
        <v>82200</v>
      </c>
      <c r="N590" s="15" t="n">
        <f aca="false">E590*H590</f>
        <v>96000</v>
      </c>
      <c r="O590" s="18" t="n">
        <f aca="false">IF(H590=0,"",(H590-G590)/H590)</f>
        <v>0.14375</v>
      </c>
      <c r="P590" s="12" t="n">
        <f aca="false">IF(J590="","",J590-README!$C$4)</f>
        <v>360</v>
      </c>
      <c r="Q590" s="12" t="str">
        <f aca="false">IF(E590=0,"Out of stock",IF(E590&lt;=F590,"Low stock","OK"))</f>
        <v>OK</v>
      </c>
      <c r="R590" s="12" t="str">
        <f aca="false">IF(J590="","No expiry",IF(P590&lt;0,"Expired",IF(P590&lt;=30,"Expiring &lt;=30 days","OK")))</f>
        <v>OK</v>
      </c>
      <c r="S590" s="12"/>
    </row>
    <row r="591" customFormat="false" ht="15" hidden="false" customHeight="false" outlineLevel="0" collapsed="false">
      <c r="A591" s="12" t="s">
        <v>3662</v>
      </c>
      <c r="B591" s="12" t="s">
        <v>1345</v>
      </c>
      <c r="C591" s="12" t="s">
        <v>2426</v>
      </c>
      <c r="D591" s="12" t="s">
        <v>2427</v>
      </c>
      <c r="E591" s="12" t="n">
        <v>36</v>
      </c>
      <c r="F591" s="12" t="n">
        <v>8</v>
      </c>
      <c r="G591" s="15" t="n">
        <v>7100</v>
      </c>
      <c r="H591" s="15" t="n">
        <v>8600</v>
      </c>
      <c r="I591" s="12" t="s">
        <v>3663</v>
      </c>
      <c r="J591" s="17" t="n">
        <v>46949</v>
      </c>
      <c r="K591" s="12" t="s">
        <v>1120</v>
      </c>
      <c r="L591" s="12" t="n">
        <v>25</v>
      </c>
      <c r="M591" s="15" t="n">
        <f aca="false">E591*G591</f>
        <v>255600</v>
      </c>
      <c r="N591" s="15" t="n">
        <f aca="false">E591*H591</f>
        <v>309600</v>
      </c>
      <c r="O591" s="18" t="n">
        <f aca="false">IF(H591=0,"",(H591-G591)/H591)</f>
        <v>0.174418604651163</v>
      </c>
      <c r="P591" s="12" t="n">
        <f aca="false">IF(J591="","",J591-README!$C$4)</f>
        <v>627</v>
      </c>
      <c r="Q591" s="12" t="str">
        <f aca="false">IF(E591=0,"Out of stock",IF(E591&lt;=F591,"Low stock","OK"))</f>
        <v>OK</v>
      </c>
      <c r="R591" s="12" t="str">
        <f aca="false">IF(J591="","No expiry",IF(P591&lt;0,"Expired",IF(P591&lt;=30,"Expiring &lt;=30 days","OK")))</f>
        <v>OK</v>
      </c>
      <c r="S591" s="12"/>
    </row>
    <row r="592" customFormat="false" ht="15" hidden="false" customHeight="false" outlineLevel="0" collapsed="false">
      <c r="A592" s="12" t="s">
        <v>3664</v>
      </c>
      <c r="B592" s="12" t="s">
        <v>1345</v>
      </c>
      <c r="C592" s="12" t="s">
        <v>2437</v>
      </c>
      <c r="D592" s="12" t="s">
        <v>2439</v>
      </c>
      <c r="E592" s="12" t="n">
        <v>7</v>
      </c>
      <c r="F592" s="12" t="n">
        <v>4</v>
      </c>
      <c r="G592" s="15" t="n">
        <v>11700</v>
      </c>
      <c r="H592" s="15" t="n">
        <v>13000</v>
      </c>
      <c r="I592" s="12"/>
      <c r="J592" s="17"/>
      <c r="K592" s="12" t="s">
        <v>1120</v>
      </c>
      <c r="L592" s="12" t="n">
        <v>4</v>
      </c>
      <c r="M592" s="15" t="n">
        <f aca="false">E592*G592</f>
        <v>81900</v>
      </c>
      <c r="N592" s="15" t="n">
        <f aca="false">E592*H592</f>
        <v>91000</v>
      </c>
      <c r="O592" s="18" t="n">
        <f aca="false">IF(H592=0,"",(H592-G592)/H592)</f>
        <v>0.1</v>
      </c>
      <c r="P592" s="12" t="str">
        <f aca="false">IF(J592="","",J592-README!$C$4)</f>
        <v/>
      </c>
      <c r="Q592" s="12" t="str">
        <f aca="false">IF(E592=0,"Out of stock",IF(E592&lt;=F592,"Low stock","OK"))</f>
        <v>OK</v>
      </c>
      <c r="R592" s="12" t="str">
        <f aca="false">IF(J592="","No expiry",IF(P592&lt;0,"Expired",IF(P592&lt;=30,"Expiring &lt;=30 days","OK")))</f>
        <v>No expiry</v>
      </c>
      <c r="S592" s="12"/>
    </row>
    <row r="593" customFormat="false" ht="15" hidden="false" customHeight="false" outlineLevel="0" collapsed="false">
      <c r="A593" s="12" t="s">
        <v>3665</v>
      </c>
      <c r="B593" s="12" t="s">
        <v>1345</v>
      </c>
      <c r="C593" s="12" t="s">
        <v>2441</v>
      </c>
      <c r="D593" s="12" t="s">
        <v>1882</v>
      </c>
      <c r="E593" s="12" t="n">
        <v>15</v>
      </c>
      <c r="F593" s="12" t="n">
        <v>4</v>
      </c>
      <c r="G593" s="15" t="n">
        <v>2600</v>
      </c>
      <c r="H593" s="15" t="n">
        <v>3200</v>
      </c>
      <c r="I593" s="12"/>
      <c r="J593" s="17"/>
      <c r="K593" s="12" t="s">
        <v>1120</v>
      </c>
      <c r="L593" s="12" t="n">
        <v>10</v>
      </c>
      <c r="M593" s="15" t="n">
        <f aca="false">E593*G593</f>
        <v>39000</v>
      </c>
      <c r="N593" s="15" t="n">
        <f aca="false">E593*H593</f>
        <v>48000</v>
      </c>
      <c r="O593" s="18" t="n">
        <f aca="false">IF(H593=0,"",(H593-G593)/H593)</f>
        <v>0.1875</v>
      </c>
      <c r="P593" s="12" t="str">
        <f aca="false">IF(J593="","",J593-README!$C$4)</f>
        <v/>
      </c>
      <c r="Q593" s="12" t="str">
        <f aca="false">IF(E593=0,"Out of stock",IF(E593&lt;=F593,"Low stock","OK"))</f>
        <v>OK</v>
      </c>
      <c r="R593" s="12" t="str">
        <f aca="false">IF(J593="","No expiry",IF(P593&lt;0,"Expired",IF(P593&lt;=30,"Expiring &lt;=30 days","OK")))</f>
        <v>No expiry</v>
      </c>
      <c r="S593" s="12"/>
    </row>
    <row r="594" customFormat="false" ht="15" hidden="false" customHeight="false" outlineLevel="0" collapsed="false">
      <c r="A594" s="12" t="s">
        <v>3666</v>
      </c>
      <c r="B594" s="12" t="s">
        <v>1345</v>
      </c>
      <c r="C594" s="12" t="s">
        <v>2444</v>
      </c>
      <c r="D594" s="12" t="s">
        <v>1887</v>
      </c>
      <c r="E594" s="12" t="n">
        <v>4</v>
      </c>
      <c r="F594" s="12" t="n">
        <v>1</v>
      </c>
      <c r="G594" s="15" t="n">
        <v>31400</v>
      </c>
      <c r="H594" s="15" t="n">
        <v>37500</v>
      </c>
      <c r="I594" s="12"/>
      <c r="J594" s="17"/>
      <c r="K594" s="12" t="s">
        <v>1120</v>
      </c>
      <c r="L594" s="12" t="n">
        <v>2</v>
      </c>
      <c r="M594" s="15" t="n">
        <f aca="false">E594*G594</f>
        <v>125600</v>
      </c>
      <c r="N594" s="15" t="n">
        <f aca="false">E594*H594</f>
        <v>150000</v>
      </c>
      <c r="O594" s="18" t="n">
        <f aca="false">IF(H594=0,"",(H594-G594)/H594)</f>
        <v>0.162666666666667</v>
      </c>
      <c r="P594" s="12" t="str">
        <f aca="false">IF(J594="","",J594-README!$C$4)</f>
        <v/>
      </c>
      <c r="Q594" s="12" t="str">
        <f aca="false">IF(E594=0,"Out of stock",IF(E594&lt;=F594,"Low stock","OK"))</f>
        <v>OK</v>
      </c>
      <c r="R594" s="12" t="str">
        <f aca="false">IF(J594="","No expiry",IF(P594&lt;0,"Expired",IF(P594&lt;=30,"Expiring &lt;=30 days","OK")))</f>
        <v>No expiry</v>
      </c>
      <c r="S594" s="12"/>
    </row>
    <row r="595" customFormat="false" ht="15" hidden="false" customHeight="false" outlineLevel="0" collapsed="false">
      <c r="A595" s="12" t="s">
        <v>3667</v>
      </c>
      <c r="B595" s="12" t="s">
        <v>1345</v>
      </c>
      <c r="C595" s="12" t="s">
        <v>2447</v>
      </c>
      <c r="D595" s="12" t="s">
        <v>1892</v>
      </c>
      <c r="E595" s="12" t="n">
        <v>6</v>
      </c>
      <c r="F595" s="12" t="n">
        <v>4</v>
      </c>
      <c r="G595" s="15" t="n">
        <v>24300</v>
      </c>
      <c r="H595" s="15" t="n">
        <v>27000</v>
      </c>
      <c r="I595" s="12"/>
      <c r="J595" s="17"/>
      <c r="K595" s="12" t="s">
        <v>1120</v>
      </c>
      <c r="L595" s="12" t="n">
        <v>4</v>
      </c>
      <c r="M595" s="15" t="n">
        <f aca="false">E595*G595</f>
        <v>145800</v>
      </c>
      <c r="N595" s="15" t="n">
        <f aca="false">E595*H595</f>
        <v>162000</v>
      </c>
      <c r="O595" s="18" t="n">
        <f aca="false">IF(H595=0,"",(H595-G595)/H595)</f>
        <v>0.1</v>
      </c>
      <c r="P595" s="12" t="str">
        <f aca="false">IF(J595="","",J595-README!$C$4)</f>
        <v/>
      </c>
      <c r="Q595" s="12" t="str">
        <f aca="false">IF(E595=0,"Out of stock",IF(E595&lt;=F595,"Low stock","OK"))</f>
        <v>OK</v>
      </c>
      <c r="R595" s="12" t="str">
        <f aca="false">IF(J595="","No expiry",IF(P595&lt;0,"Expired",IF(P595&lt;=30,"Expiring &lt;=30 days","OK")))</f>
        <v>No expiry</v>
      </c>
      <c r="S595" s="12"/>
    </row>
    <row r="596" customFormat="false" ht="15" hidden="false" customHeight="false" outlineLevel="0" collapsed="false">
      <c r="A596" s="12" t="s">
        <v>3668</v>
      </c>
      <c r="B596" s="12" t="s">
        <v>1345</v>
      </c>
      <c r="C596" s="12" t="s">
        <v>2449</v>
      </c>
      <c r="D596" s="12" t="s">
        <v>1897</v>
      </c>
      <c r="E596" s="12" t="n">
        <v>9</v>
      </c>
      <c r="F596" s="12" t="n">
        <v>4</v>
      </c>
      <c r="G596" s="15" t="n">
        <v>17100</v>
      </c>
      <c r="H596" s="15" t="n">
        <v>19500</v>
      </c>
      <c r="I596" s="12"/>
      <c r="J596" s="17"/>
      <c r="K596" s="12" t="s">
        <v>1120</v>
      </c>
      <c r="L596" s="12" t="n">
        <v>6</v>
      </c>
      <c r="M596" s="15" t="n">
        <f aca="false">E596*G596</f>
        <v>153900</v>
      </c>
      <c r="N596" s="15" t="n">
        <f aca="false">E596*H596</f>
        <v>175500</v>
      </c>
      <c r="O596" s="18" t="n">
        <f aca="false">IF(H596=0,"",(H596-G596)/H596)</f>
        <v>0.123076923076923</v>
      </c>
      <c r="P596" s="12" t="str">
        <f aca="false">IF(J596="","",J596-README!$C$4)</f>
        <v/>
      </c>
      <c r="Q596" s="12" t="str">
        <f aca="false">IF(E596=0,"Out of stock",IF(E596&lt;=F596,"Low stock","OK"))</f>
        <v>OK</v>
      </c>
      <c r="R596" s="12" t="str">
        <f aca="false">IF(J596="","No expiry",IF(P596&lt;0,"Expired",IF(P596&lt;=30,"Expiring &lt;=30 days","OK")))</f>
        <v>No expiry</v>
      </c>
      <c r="S596" s="12"/>
    </row>
    <row r="597" customFormat="false" ht="15" hidden="false" customHeight="false" outlineLevel="0" collapsed="false">
      <c r="A597" s="12" t="s">
        <v>3669</v>
      </c>
      <c r="B597" s="12" t="s">
        <v>1345</v>
      </c>
      <c r="C597" s="12" t="s">
        <v>2451</v>
      </c>
      <c r="D597" s="12" t="s">
        <v>1903</v>
      </c>
      <c r="E597" s="12" t="n">
        <v>25</v>
      </c>
      <c r="F597" s="12" t="n">
        <v>4</v>
      </c>
      <c r="G597" s="15" t="n">
        <v>31700</v>
      </c>
      <c r="H597" s="15" t="n">
        <v>37500</v>
      </c>
      <c r="I597" s="12"/>
      <c r="J597" s="17"/>
      <c r="K597" s="12" t="s">
        <v>1111</v>
      </c>
      <c r="L597" s="12" t="n">
        <v>0</v>
      </c>
      <c r="M597" s="15" t="n">
        <f aca="false">E597*G597</f>
        <v>792500</v>
      </c>
      <c r="N597" s="15" t="n">
        <f aca="false">E597*H597</f>
        <v>937500</v>
      </c>
      <c r="O597" s="18" t="n">
        <f aca="false">IF(H597=0,"",(H597-G597)/H597)</f>
        <v>0.154666666666667</v>
      </c>
      <c r="P597" s="12" t="str">
        <f aca="false">IF(J597="","",J597-README!$C$4)</f>
        <v/>
      </c>
      <c r="Q597" s="12" t="str">
        <f aca="false">IF(E597=0,"Out of stock",IF(E597&lt;=F597,"Low stock","OK"))</f>
        <v>OK</v>
      </c>
      <c r="R597" s="12" t="str">
        <f aca="false">IF(J597="","No expiry",IF(P597&lt;0,"Expired",IF(P597&lt;=30,"Expiring &lt;=30 days","OK")))</f>
        <v>No expiry</v>
      </c>
      <c r="S597" s="12"/>
    </row>
    <row r="598" customFormat="false" ht="15" hidden="false" customHeight="false" outlineLevel="0" collapsed="false">
      <c r="A598" s="12" t="s">
        <v>3670</v>
      </c>
      <c r="B598" s="12" t="s">
        <v>1345</v>
      </c>
      <c r="C598" s="12" t="s">
        <v>2453</v>
      </c>
      <c r="D598" s="12" t="s">
        <v>1908</v>
      </c>
      <c r="E598" s="12" t="n">
        <v>2</v>
      </c>
      <c r="F598" s="12" t="n">
        <v>1</v>
      </c>
      <c r="G598" s="15" t="n">
        <v>573700</v>
      </c>
      <c r="H598" s="15" t="n">
        <v>695500</v>
      </c>
      <c r="I598" s="12"/>
      <c r="J598" s="17"/>
      <c r="K598" s="12" t="s">
        <v>1120</v>
      </c>
      <c r="L598" s="12" t="n">
        <v>1</v>
      </c>
      <c r="M598" s="15" t="n">
        <f aca="false">E598*G598</f>
        <v>1147400</v>
      </c>
      <c r="N598" s="15" t="n">
        <f aca="false">E598*H598</f>
        <v>1391000</v>
      </c>
      <c r="O598" s="18" t="n">
        <f aca="false">IF(H598=0,"",(H598-G598)/H598)</f>
        <v>0.175125808770669</v>
      </c>
      <c r="P598" s="12" t="str">
        <f aca="false">IF(J598="","",J598-README!$C$4)</f>
        <v/>
      </c>
      <c r="Q598" s="12" t="str">
        <f aca="false">IF(E598=0,"Out of stock",IF(E598&lt;=F598,"Low stock","OK"))</f>
        <v>OK</v>
      </c>
      <c r="R598" s="12" t="str">
        <f aca="false">IF(J598="","No expiry",IF(P598&lt;0,"Expired",IF(P598&lt;=30,"Expiring &lt;=30 days","OK")))</f>
        <v>No expiry</v>
      </c>
      <c r="S598" s="12"/>
    </row>
    <row r="599" customFormat="false" ht="15" hidden="false" customHeight="false" outlineLevel="0" collapsed="false">
      <c r="A599" s="12" t="s">
        <v>3671</v>
      </c>
      <c r="B599" s="12" t="s">
        <v>1345</v>
      </c>
      <c r="C599" s="12" t="s">
        <v>2455</v>
      </c>
      <c r="D599" s="12" t="s">
        <v>1914</v>
      </c>
      <c r="E599" s="12" t="n">
        <v>11</v>
      </c>
      <c r="F599" s="12" t="n">
        <v>4</v>
      </c>
      <c r="G599" s="15" t="n">
        <v>172600</v>
      </c>
      <c r="H599" s="15" t="n">
        <v>192500</v>
      </c>
      <c r="I599" s="12"/>
      <c r="J599" s="17"/>
      <c r="K599" s="12" t="s">
        <v>1120</v>
      </c>
      <c r="L599" s="12" t="n">
        <v>7</v>
      </c>
      <c r="M599" s="15" t="n">
        <f aca="false">E599*G599</f>
        <v>1898600</v>
      </c>
      <c r="N599" s="15" t="n">
        <f aca="false">E599*H599</f>
        <v>2117500</v>
      </c>
      <c r="O599" s="18" t="n">
        <f aca="false">IF(H599=0,"",(H599-G599)/H599)</f>
        <v>0.103376623376623</v>
      </c>
      <c r="P599" s="12" t="str">
        <f aca="false">IF(J599="","",J599-README!$C$4)</f>
        <v/>
      </c>
      <c r="Q599" s="12" t="str">
        <f aca="false">IF(E599=0,"Out of stock",IF(E599&lt;=F599,"Low stock","OK"))</f>
        <v>OK</v>
      </c>
      <c r="R599" s="12" t="str">
        <f aca="false">IF(J599="","No expiry",IF(P599&lt;0,"Expired",IF(P599&lt;=30,"Expiring &lt;=30 days","OK")))</f>
        <v>No expiry</v>
      </c>
      <c r="S599" s="12"/>
    </row>
    <row r="600" customFormat="false" ht="15" hidden="false" customHeight="false" outlineLevel="0" collapsed="false">
      <c r="A600" s="12" t="s">
        <v>3672</v>
      </c>
      <c r="B600" s="12" t="s">
        <v>1345</v>
      </c>
      <c r="C600" s="12" t="s">
        <v>2457</v>
      </c>
      <c r="D600" s="12" t="s">
        <v>1919</v>
      </c>
      <c r="E600" s="12" t="n">
        <v>3</v>
      </c>
      <c r="F600" s="12" t="n">
        <v>1</v>
      </c>
      <c r="G600" s="15" t="n">
        <v>361000</v>
      </c>
      <c r="H600" s="15" t="n">
        <v>406500</v>
      </c>
      <c r="I600" s="12"/>
      <c r="J600" s="17"/>
      <c r="K600" s="12" t="s">
        <v>1120</v>
      </c>
      <c r="L600" s="12" t="n">
        <v>2</v>
      </c>
      <c r="M600" s="15" t="n">
        <f aca="false">E600*G600</f>
        <v>1083000</v>
      </c>
      <c r="N600" s="15" t="n">
        <f aca="false">E600*H600</f>
        <v>1219500</v>
      </c>
      <c r="O600" s="18" t="n">
        <f aca="false">IF(H600=0,"",(H600-G600)/H600)</f>
        <v>0.111931119311193</v>
      </c>
      <c r="P600" s="12" t="str">
        <f aca="false">IF(J600="","",J600-README!$C$4)</f>
        <v/>
      </c>
      <c r="Q600" s="12" t="str">
        <f aca="false">IF(E600=0,"Out of stock",IF(E600&lt;=F600,"Low stock","OK"))</f>
        <v>OK</v>
      </c>
      <c r="R600" s="12" t="str">
        <f aca="false">IF(J600="","No expiry",IF(P600&lt;0,"Expired",IF(P600&lt;=30,"Expiring &lt;=30 days","OK")))</f>
        <v>No expiry</v>
      </c>
      <c r="S600" s="12"/>
    </row>
    <row r="601" customFormat="false" ht="15" hidden="false" customHeight="false" outlineLevel="0" collapsed="false">
      <c r="A601" s="12" t="s">
        <v>3673</v>
      </c>
      <c r="B601" s="12" t="s">
        <v>1345</v>
      </c>
      <c r="C601" s="12" t="s">
        <v>2459</v>
      </c>
      <c r="D601" s="12" t="s">
        <v>1925</v>
      </c>
      <c r="E601" s="12" t="n">
        <v>4</v>
      </c>
      <c r="F601" s="12" t="n">
        <v>1</v>
      </c>
      <c r="G601" s="15" t="n">
        <v>1717700</v>
      </c>
      <c r="H601" s="15" t="n">
        <v>2086500</v>
      </c>
      <c r="I601" s="12"/>
      <c r="J601" s="17"/>
      <c r="K601" s="12" t="s">
        <v>1120</v>
      </c>
      <c r="L601" s="12" t="n">
        <v>2</v>
      </c>
      <c r="M601" s="15" t="n">
        <f aca="false">E601*G601</f>
        <v>6870800</v>
      </c>
      <c r="N601" s="15" t="n">
        <f aca="false">E601*H601</f>
        <v>8346000</v>
      </c>
      <c r="O601" s="18" t="n">
        <f aca="false">IF(H601=0,"",(H601-G601)/H601)</f>
        <v>0.176755331895519</v>
      </c>
      <c r="P601" s="12" t="str">
        <f aca="false">IF(J601="","",J601-README!$C$4)</f>
        <v/>
      </c>
      <c r="Q601" s="12" t="str">
        <f aca="false">IF(E601=0,"Out of stock",IF(E601&lt;=F601,"Low stock","OK"))</f>
        <v>OK</v>
      </c>
      <c r="R601" s="12" t="str">
        <f aca="false">IF(J601="","No expiry",IF(P601&lt;0,"Expired",IF(P601&lt;=30,"Expiring &lt;=30 days","OK")))</f>
        <v>No expiry</v>
      </c>
      <c r="S601" s="12"/>
    </row>
    <row r="602" customFormat="false" ht="15" hidden="false" customHeight="false" outlineLevel="0" collapsed="false">
      <c r="A602" s="12" t="s">
        <v>3674</v>
      </c>
      <c r="B602" s="12" t="s">
        <v>1345</v>
      </c>
      <c r="C602" s="12" t="s">
        <v>2461</v>
      </c>
      <c r="D602" s="12" t="s">
        <v>2463</v>
      </c>
      <c r="E602" s="12" t="n">
        <v>13</v>
      </c>
      <c r="F602" s="12" t="n">
        <v>8</v>
      </c>
      <c r="G602" s="15" t="n">
        <v>32100</v>
      </c>
      <c r="H602" s="15" t="n">
        <v>37500</v>
      </c>
      <c r="I602" s="12"/>
      <c r="J602" s="17"/>
      <c r="K602" s="12" t="s">
        <v>1120</v>
      </c>
      <c r="L602" s="12" t="n">
        <v>9</v>
      </c>
      <c r="M602" s="15" t="n">
        <f aca="false">E602*G602</f>
        <v>417300</v>
      </c>
      <c r="N602" s="15" t="n">
        <f aca="false">E602*H602</f>
        <v>487500</v>
      </c>
      <c r="O602" s="18" t="n">
        <f aca="false">IF(H602=0,"",(H602-G602)/H602)</f>
        <v>0.144</v>
      </c>
      <c r="P602" s="12" t="str">
        <f aca="false">IF(J602="","",J602-README!$C$4)</f>
        <v/>
      </c>
      <c r="Q602" s="12" t="str">
        <f aca="false">IF(E602=0,"Out of stock",IF(E602&lt;=F602,"Low stock","OK"))</f>
        <v>OK</v>
      </c>
      <c r="R602" s="12" t="str">
        <f aca="false">IF(J602="","No expiry",IF(P602&lt;0,"Expired",IF(P602&lt;=30,"Expiring &lt;=30 days","OK")))</f>
        <v>No expiry</v>
      </c>
      <c r="S602" s="12"/>
    </row>
    <row r="603" customFormat="false" ht="15" hidden="false" customHeight="false" outlineLevel="0" collapsed="false">
      <c r="A603" s="12" t="s">
        <v>3675</v>
      </c>
      <c r="B603" s="12" t="s">
        <v>1345</v>
      </c>
      <c r="C603" s="12" t="s">
        <v>2465</v>
      </c>
      <c r="D603" s="12" t="s">
        <v>1935</v>
      </c>
      <c r="E603" s="12" t="n">
        <v>17</v>
      </c>
      <c r="F603" s="12" t="n">
        <v>4</v>
      </c>
      <c r="G603" s="15" t="n">
        <v>41800</v>
      </c>
      <c r="H603" s="15" t="n">
        <v>48000</v>
      </c>
      <c r="I603" s="12"/>
      <c r="J603" s="17"/>
      <c r="K603" s="12" t="s">
        <v>1120</v>
      </c>
      <c r="L603" s="12" t="n">
        <v>11</v>
      </c>
      <c r="M603" s="15" t="n">
        <f aca="false">E603*G603</f>
        <v>710600</v>
      </c>
      <c r="N603" s="15" t="n">
        <f aca="false">E603*H603</f>
        <v>816000</v>
      </c>
      <c r="O603" s="18" t="n">
        <f aca="false">IF(H603=0,"",(H603-G603)/H603)</f>
        <v>0.129166666666667</v>
      </c>
      <c r="P603" s="12" t="str">
        <f aca="false">IF(J603="","",J603-README!$C$4)</f>
        <v/>
      </c>
      <c r="Q603" s="12" t="str">
        <f aca="false">IF(E603=0,"Out of stock",IF(E603&lt;=F603,"Low stock","OK"))</f>
        <v>OK</v>
      </c>
      <c r="R603" s="12" t="str">
        <f aca="false">IF(J603="","No expiry",IF(P603&lt;0,"Expired",IF(P603&lt;=30,"Expiring &lt;=30 days","OK")))</f>
        <v>No expiry</v>
      </c>
      <c r="S603" s="12"/>
    </row>
    <row r="604" customFormat="false" ht="15" hidden="false" customHeight="false" outlineLevel="0" collapsed="false">
      <c r="A604" s="12" t="s">
        <v>3676</v>
      </c>
      <c r="B604" s="12" t="s">
        <v>1345</v>
      </c>
      <c r="C604" s="12" t="s">
        <v>2467</v>
      </c>
      <c r="D604" s="12" t="s">
        <v>2468</v>
      </c>
      <c r="E604" s="12" t="n">
        <v>7</v>
      </c>
      <c r="F604" s="12" t="n">
        <v>2</v>
      </c>
      <c r="G604" s="15" t="n">
        <v>22800</v>
      </c>
      <c r="H604" s="15" t="n">
        <v>27000</v>
      </c>
      <c r="I604" s="12"/>
      <c r="J604" s="17"/>
      <c r="K604" s="12" t="s">
        <v>1120</v>
      </c>
      <c r="L604" s="12" t="n">
        <v>4</v>
      </c>
      <c r="M604" s="15" t="n">
        <f aca="false">E604*G604</f>
        <v>159600</v>
      </c>
      <c r="N604" s="15" t="n">
        <f aca="false">E604*H604</f>
        <v>189000</v>
      </c>
      <c r="O604" s="18" t="n">
        <f aca="false">IF(H604=0,"",(H604-G604)/H604)</f>
        <v>0.155555555555556</v>
      </c>
      <c r="P604" s="12" t="str">
        <f aca="false">IF(J604="","",J604-README!$C$4)</f>
        <v/>
      </c>
      <c r="Q604" s="12" t="str">
        <f aca="false">IF(E604=0,"Out of stock",IF(E604&lt;=F604,"Low stock","OK"))</f>
        <v>OK</v>
      </c>
      <c r="R604" s="12" t="str">
        <f aca="false">IF(J604="","No expiry",IF(P604&lt;0,"Expired",IF(P604&lt;=30,"Expiring &lt;=30 days","OK")))</f>
        <v>No expiry</v>
      </c>
      <c r="S604" s="12"/>
    </row>
    <row r="605" customFormat="false" ht="15" hidden="false" customHeight="false" outlineLevel="0" collapsed="false">
      <c r="A605" s="12" t="s">
        <v>3677</v>
      </c>
      <c r="B605" s="12" t="s">
        <v>1345</v>
      </c>
      <c r="C605" s="12" t="s">
        <v>2470</v>
      </c>
      <c r="D605" s="12" t="s">
        <v>1945</v>
      </c>
      <c r="E605" s="12" t="n">
        <v>12</v>
      </c>
      <c r="F605" s="12" t="n">
        <v>4</v>
      </c>
      <c r="G605" s="15" t="n">
        <v>52500</v>
      </c>
      <c r="H605" s="15" t="n">
        <v>59000</v>
      </c>
      <c r="I605" s="12"/>
      <c r="J605" s="17"/>
      <c r="K605" s="12" t="s">
        <v>1120</v>
      </c>
      <c r="L605" s="12" t="n">
        <v>8</v>
      </c>
      <c r="M605" s="15" t="n">
        <f aca="false">E605*G605</f>
        <v>630000</v>
      </c>
      <c r="N605" s="15" t="n">
        <f aca="false">E605*H605</f>
        <v>708000</v>
      </c>
      <c r="O605" s="18" t="n">
        <f aca="false">IF(H605=0,"",(H605-G605)/H605)</f>
        <v>0.110169491525424</v>
      </c>
      <c r="P605" s="12" t="str">
        <f aca="false">IF(J605="","",J605-README!$C$4)</f>
        <v/>
      </c>
      <c r="Q605" s="12" t="str">
        <f aca="false">IF(E605=0,"Out of stock",IF(E605&lt;=F605,"Low stock","OK"))</f>
        <v>OK</v>
      </c>
      <c r="R605" s="12" t="str">
        <f aca="false">IF(J605="","No expiry",IF(P605&lt;0,"Expired",IF(P605&lt;=30,"Expiring &lt;=30 days","OK")))</f>
        <v>No expiry</v>
      </c>
      <c r="S605" s="12"/>
    </row>
    <row r="606" customFormat="false" ht="15" hidden="false" customHeight="false" outlineLevel="0" collapsed="false">
      <c r="A606" s="12" t="s">
        <v>3678</v>
      </c>
      <c r="B606" s="12" t="s">
        <v>1345</v>
      </c>
      <c r="C606" s="12" t="s">
        <v>2472</v>
      </c>
      <c r="D606" s="12" t="s">
        <v>1950</v>
      </c>
      <c r="E606" s="12" t="n">
        <v>12</v>
      </c>
      <c r="F606" s="12" t="n">
        <v>4</v>
      </c>
      <c r="G606" s="15" t="n">
        <v>13900</v>
      </c>
      <c r="H606" s="15" t="n">
        <v>16000</v>
      </c>
      <c r="I606" s="12"/>
      <c r="J606" s="17"/>
      <c r="K606" s="12" t="s">
        <v>1120</v>
      </c>
      <c r="L606" s="12" t="n">
        <v>8</v>
      </c>
      <c r="M606" s="15" t="n">
        <f aca="false">E606*G606</f>
        <v>166800</v>
      </c>
      <c r="N606" s="15" t="n">
        <f aca="false">E606*H606</f>
        <v>192000</v>
      </c>
      <c r="O606" s="18" t="n">
        <f aca="false">IF(H606=0,"",(H606-G606)/H606)</f>
        <v>0.13125</v>
      </c>
      <c r="P606" s="12" t="str">
        <f aca="false">IF(J606="","",J606-README!$C$4)</f>
        <v/>
      </c>
      <c r="Q606" s="12" t="str">
        <f aca="false">IF(E606=0,"Out of stock",IF(E606&lt;=F606,"Low stock","OK"))</f>
        <v>OK</v>
      </c>
      <c r="R606" s="12" t="str">
        <f aca="false">IF(J606="","No expiry",IF(P606&lt;0,"Expired",IF(P606&lt;=30,"Expiring &lt;=30 days","OK")))</f>
        <v>No expiry</v>
      </c>
      <c r="S606" s="12"/>
    </row>
  </sheetData>
  <autoFilter ref="A1:S606"/>
  <dataValidations count="2">
    <dataValidation allowBlank="true" errorStyle="stop" operator="between" showDropDown="false" showErrorMessage="false" showInputMessage="false" sqref="B2:B656" type="list">
      <formula1>Stores!$A$2:$A$7</formula1>
      <formula2>0</formula2>
    </dataValidation>
    <dataValidation allowBlank="true" errorStyle="stop" operator="between" showDropDown="false" showErrorMessage="false" showInputMessage="false" sqref="C2:C656" type="list">
      <formula1>Variants!$A$2:$A$151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false"/>
  </sheetPr>
  <dimension ref="A1:O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0"/>
    <col collapsed="false" customWidth="true" hidden="false" outlineLevel="0" max="3" min="3" style="0" width="40"/>
    <col collapsed="false" customWidth="true" hidden="false" outlineLevel="0" max="4" min="4" style="0" width="11"/>
    <col collapsed="false" customWidth="true" hidden="false" outlineLevel="0" max="5" min="5" style="0" width="12"/>
    <col collapsed="false" customWidth="true" hidden="false" outlineLevel="0" max="6" min="6" style="0" width="19"/>
    <col collapsed="false" customWidth="true" hidden="false" outlineLevel="0" max="7" min="7" style="0" width="21"/>
    <col collapsed="false" customWidth="true" hidden="false" outlineLevel="0" max="8" min="8" style="0" width="17"/>
    <col collapsed="false" customWidth="true" hidden="false" outlineLevel="0" max="9" min="9" style="0" width="15"/>
    <col collapsed="false" customWidth="true" hidden="false" outlineLevel="0" max="10" min="10" style="0" width="18"/>
    <col collapsed="false" customWidth="true" hidden="false" outlineLevel="0" max="11" min="11" style="0" width="10"/>
    <col collapsed="false" customWidth="true" hidden="false" outlineLevel="0" max="12" min="12" style="0" width="30"/>
    <col collapsed="false" customWidth="true" hidden="false" outlineLevel="0" max="13" min="13" style="0" width="26"/>
    <col collapsed="false" customWidth="true" hidden="false" outlineLevel="0" max="14" min="14" style="0" width="18"/>
    <col collapsed="false" customWidth="true" hidden="false" outlineLevel="0" max="15" min="15" style="0" width="58"/>
  </cols>
  <sheetData>
    <row r="1" customFormat="false" ht="31.5" hidden="false" customHeight="true" outlineLevel="0" collapsed="false">
      <c r="A1" s="13" t="s">
        <v>3679</v>
      </c>
      <c r="B1" s="13" t="s">
        <v>2066</v>
      </c>
      <c r="C1" s="13" t="s">
        <v>1358</v>
      </c>
      <c r="D1" s="13" t="s">
        <v>1182</v>
      </c>
      <c r="E1" s="13" t="s">
        <v>650</v>
      </c>
      <c r="F1" s="13" t="s">
        <v>655</v>
      </c>
      <c r="G1" s="13" t="s">
        <v>659</v>
      </c>
      <c r="H1" s="13" t="s">
        <v>663</v>
      </c>
      <c r="I1" s="13" t="s">
        <v>667</v>
      </c>
      <c r="J1" s="13" t="s">
        <v>3680</v>
      </c>
      <c r="K1" s="13" t="s">
        <v>1189</v>
      </c>
      <c r="L1" s="13" t="s">
        <v>671</v>
      </c>
      <c r="M1" s="13" t="s">
        <v>3681</v>
      </c>
      <c r="N1" s="13" t="s">
        <v>3682</v>
      </c>
      <c r="O1" s="13" t="s">
        <v>2554</v>
      </c>
    </row>
    <row r="2" customFormat="false" ht="15" hidden="false" customHeight="false" outlineLevel="0" collapsed="false">
      <c r="A2" s="12" t="s">
        <v>3683</v>
      </c>
      <c r="B2" s="12" t="s">
        <v>2523</v>
      </c>
      <c r="C2" s="12" t="s">
        <v>2029</v>
      </c>
      <c r="D2" s="12" t="s">
        <v>1230</v>
      </c>
      <c r="E2" s="17" t="n">
        <v>46317</v>
      </c>
      <c r="F2" s="17" t="n">
        <v>46314</v>
      </c>
      <c r="G2" s="15" t="n">
        <v>2250</v>
      </c>
      <c r="H2" s="15" t="n">
        <v>17000</v>
      </c>
      <c r="I2" s="15" t="n">
        <v>17000</v>
      </c>
      <c r="J2" s="15" t="n">
        <f aca="false">MAX(0,H2-I2)</f>
        <v>0</v>
      </c>
      <c r="K2" s="12" t="str">
        <f aca="false">IF(E2&lt;README!$C$4,"Past",IF(I2&gt;=H2,"FULL",IF(F2&lt;README!$C$4,"Closed","Open")))</f>
        <v>Past</v>
      </c>
      <c r="L2" s="15" t="n">
        <v>60</v>
      </c>
      <c r="M2" s="15" t="n">
        <f aca="false">I2*L2</f>
        <v>1020000</v>
      </c>
      <c r="N2" s="15" t="n">
        <f aca="false">I2*G2</f>
        <v>38250000</v>
      </c>
      <c r="O2" s="19" t="s">
        <v>3684</v>
      </c>
    </row>
    <row r="3" customFormat="false" ht="15" hidden="false" customHeight="false" outlineLevel="0" collapsed="false">
      <c r="A3" s="12" t="s">
        <v>3685</v>
      </c>
      <c r="B3" s="12" t="s">
        <v>2499</v>
      </c>
      <c r="C3" s="12" t="s">
        <v>1995</v>
      </c>
      <c r="D3" s="12" t="s">
        <v>1218</v>
      </c>
      <c r="E3" s="17" t="n">
        <v>46323</v>
      </c>
      <c r="F3" s="17" t="n">
        <v>46320</v>
      </c>
      <c r="G3" s="15" t="n">
        <v>2000</v>
      </c>
      <c r="H3" s="15" t="n">
        <v>14000</v>
      </c>
      <c r="I3" s="15" t="n">
        <v>5600</v>
      </c>
      <c r="J3" s="15" t="n">
        <f aca="false">MAX(0,H3-I3)</f>
        <v>8400</v>
      </c>
      <c r="K3" s="12" t="str">
        <f aca="false">IF(E3&lt;README!$C$4,"Past",IF(I3&gt;=H3,"FULL",IF(F3&lt;README!$C$4,"Closed","Open")))</f>
        <v>Closed</v>
      </c>
      <c r="L3" s="15" t="n">
        <v>60</v>
      </c>
      <c r="M3" s="15" t="n">
        <f aca="false">I3*L3</f>
        <v>336000</v>
      </c>
      <c r="N3" s="15" t="n">
        <f aca="false">I3*G3</f>
        <v>11200000</v>
      </c>
      <c r="O3" s="12"/>
    </row>
    <row r="4" customFormat="false" ht="15" hidden="false" customHeight="false" outlineLevel="0" collapsed="false">
      <c r="A4" s="12" t="s">
        <v>3686</v>
      </c>
      <c r="B4" s="12" t="s">
        <v>2523</v>
      </c>
      <c r="C4" s="12" t="s">
        <v>2029</v>
      </c>
      <c r="D4" s="12" t="s">
        <v>1230</v>
      </c>
      <c r="E4" s="17" t="n">
        <v>46323</v>
      </c>
      <c r="F4" s="17" t="n">
        <v>46320</v>
      </c>
      <c r="G4" s="15" t="n">
        <v>2250</v>
      </c>
      <c r="H4" s="15" t="n">
        <v>17000</v>
      </c>
      <c r="I4" s="15" t="n">
        <v>9850</v>
      </c>
      <c r="J4" s="15" t="n">
        <f aca="false">MAX(0,H4-I4)</f>
        <v>7150</v>
      </c>
      <c r="K4" s="12" t="str">
        <f aca="false">IF(E4&lt;README!$C$4,"Past",IF(I4&gt;=H4,"FULL",IF(F4&lt;README!$C$4,"Closed","Open")))</f>
        <v>Closed</v>
      </c>
      <c r="L4" s="15" t="n">
        <v>60</v>
      </c>
      <c r="M4" s="15" t="n">
        <f aca="false">I4*L4</f>
        <v>591000</v>
      </c>
      <c r="N4" s="15" t="n">
        <f aca="false">I4*G4</f>
        <v>22162500</v>
      </c>
      <c r="O4" s="12"/>
    </row>
    <row r="5" customFormat="false" ht="15" hidden="false" customHeight="false" outlineLevel="0" collapsed="false">
      <c r="A5" s="12" t="s">
        <v>3687</v>
      </c>
      <c r="B5" s="12" t="s">
        <v>2484</v>
      </c>
      <c r="C5" s="12" t="s">
        <v>1975</v>
      </c>
      <c r="D5" s="12" t="s">
        <v>1203</v>
      </c>
      <c r="E5" s="17" t="n">
        <v>46324</v>
      </c>
      <c r="F5" s="17" t="n">
        <v>46321</v>
      </c>
      <c r="G5" s="15" t="n">
        <v>2000</v>
      </c>
      <c r="H5" s="15" t="n">
        <v>9000</v>
      </c>
      <c r="I5" s="15" t="n">
        <v>1500</v>
      </c>
      <c r="J5" s="15" t="n">
        <f aca="false">MAX(0,H5-I5)</f>
        <v>7500</v>
      </c>
      <c r="K5" s="12" t="str">
        <f aca="false">IF(E5&lt;README!$C$4,"Past",IF(I5&gt;=H5,"FULL",IF(F5&lt;README!$C$4,"Closed","Open")))</f>
        <v>Closed</v>
      </c>
      <c r="L5" s="15" t="n">
        <v>60</v>
      </c>
      <c r="M5" s="15" t="n">
        <f aca="false">I5*L5</f>
        <v>90000</v>
      </c>
      <c r="N5" s="15" t="n">
        <f aca="false">I5*G5</f>
        <v>3000000</v>
      </c>
      <c r="O5" s="19" t="s">
        <v>3688</v>
      </c>
    </row>
    <row r="6" customFormat="false" ht="15" hidden="false" customHeight="false" outlineLevel="0" collapsed="false">
      <c r="A6" s="12" t="s">
        <v>3689</v>
      </c>
      <c r="B6" s="12" t="s">
        <v>2514</v>
      </c>
      <c r="C6" s="12" t="s">
        <v>2016</v>
      </c>
      <c r="D6" s="12" t="s">
        <v>1227</v>
      </c>
      <c r="E6" s="17" t="n">
        <v>46324</v>
      </c>
      <c r="F6" s="17" t="n">
        <v>46321</v>
      </c>
      <c r="G6" s="15" t="n">
        <v>2200</v>
      </c>
      <c r="H6" s="15" t="n">
        <v>8500</v>
      </c>
      <c r="I6" s="15" t="n">
        <v>4400</v>
      </c>
      <c r="J6" s="15" t="n">
        <f aca="false">MAX(0,H6-I6)</f>
        <v>4100</v>
      </c>
      <c r="K6" s="12" t="str">
        <f aca="false">IF(E6&lt;README!$C$4,"Past",IF(I6&gt;=H6,"FULL",IF(F6&lt;README!$C$4,"Closed","Open")))</f>
        <v>Closed</v>
      </c>
      <c r="L6" s="15" t="n">
        <v>60</v>
      </c>
      <c r="M6" s="15" t="n">
        <f aca="false">I6*L6</f>
        <v>264000</v>
      </c>
      <c r="N6" s="15" t="n">
        <f aca="false">I6*G6</f>
        <v>9680000</v>
      </c>
      <c r="O6" s="12"/>
    </row>
    <row r="7" customFormat="false" ht="15" hidden="false" customHeight="false" outlineLevel="0" collapsed="false">
      <c r="A7" s="12" t="s">
        <v>3690</v>
      </c>
      <c r="B7" s="12" t="s">
        <v>2520</v>
      </c>
      <c r="C7" s="12" t="s">
        <v>2024</v>
      </c>
      <c r="D7" s="12" t="s">
        <v>1227</v>
      </c>
      <c r="E7" s="17" t="n">
        <v>46324</v>
      </c>
      <c r="F7" s="17" t="n">
        <v>46321</v>
      </c>
      <c r="G7" s="15" t="n">
        <v>2100</v>
      </c>
      <c r="H7" s="15" t="n">
        <v>6000</v>
      </c>
      <c r="I7" s="15" t="n">
        <v>1800</v>
      </c>
      <c r="J7" s="15" t="n">
        <f aca="false">MAX(0,H7-I7)</f>
        <v>4200</v>
      </c>
      <c r="K7" s="12" t="str">
        <f aca="false">IF(E7&lt;README!$C$4,"Past",IF(I7&gt;=H7,"FULL",IF(F7&lt;README!$C$4,"Closed","Open")))</f>
        <v>Closed</v>
      </c>
      <c r="L7" s="15" t="n">
        <v>60</v>
      </c>
      <c r="M7" s="15" t="n">
        <f aca="false">I7*L7</f>
        <v>108000</v>
      </c>
      <c r="N7" s="15" t="n">
        <f aca="false">I7*G7</f>
        <v>3780000</v>
      </c>
      <c r="O7" s="12"/>
    </row>
    <row r="8" customFormat="false" ht="15" hidden="false" customHeight="false" outlineLevel="0" collapsed="false">
      <c r="A8" s="12" t="s">
        <v>3691</v>
      </c>
      <c r="B8" s="12" t="s">
        <v>2490</v>
      </c>
      <c r="C8" s="12" t="s">
        <v>1983</v>
      </c>
      <c r="D8" s="12" t="s">
        <v>1209</v>
      </c>
      <c r="E8" s="17" t="n">
        <v>46324</v>
      </c>
      <c r="F8" s="17" t="n">
        <v>46321</v>
      </c>
      <c r="G8" s="15" t="n">
        <v>2150</v>
      </c>
      <c r="H8" s="15" t="n">
        <v>9000</v>
      </c>
      <c r="I8" s="15" t="n">
        <v>7950</v>
      </c>
      <c r="J8" s="15" t="n">
        <f aca="false">MAX(0,H8-I8)</f>
        <v>1050</v>
      </c>
      <c r="K8" s="12" t="str">
        <f aca="false">IF(E8&lt;README!$C$4,"Past",IF(I8&gt;=H8,"FULL",IF(F8&lt;README!$C$4,"Closed","Open")))</f>
        <v>Closed</v>
      </c>
      <c r="L8" s="15" t="n">
        <v>60</v>
      </c>
      <c r="M8" s="15" t="n">
        <f aca="false">I8*L8</f>
        <v>477000</v>
      </c>
      <c r="N8" s="15" t="n">
        <f aca="false">I8*G8</f>
        <v>17092500</v>
      </c>
      <c r="O8" s="12"/>
    </row>
    <row r="9" customFormat="false" ht="15" hidden="false" customHeight="false" outlineLevel="0" collapsed="false">
      <c r="A9" s="12" t="s">
        <v>3692</v>
      </c>
      <c r="B9" s="12" t="s">
        <v>2502</v>
      </c>
      <c r="C9" s="12" t="s">
        <v>1999</v>
      </c>
      <c r="D9" s="12" t="s">
        <v>1221</v>
      </c>
      <c r="E9" s="17" t="n">
        <v>46324</v>
      </c>
      <c r="F9" s="17" t="n">
        <v>46321</v>
      </c>
      <c r="G9" s="15" t="n">
        <v>2100</v>
      </c>
      <c r="H9" s="15" t="n">
        <v>8500</v>
      </c>
      <c r="I9" s="15" t="n">
        <v>2650</v>
      </c>
      <c r="J9" s="15" t="n">
        <f aca="false">MAX(0,H9-I9)</f>
        <v>5850</v>
      </c>
      <c r="K9" s="12" t="str">
        <f aca="false">IF(E9&lt;README!$C$4,"Past",IF(I9&gt;=H9,"FULL",IF(F9&lt;README!$C$4,"Closed","Open")))</f>
        <v>Closed</v>
      </c>
      <c r="L9" s="15" t="n">
        <v>60</v>
      </c>
      <c r="M9" s="15" t="n">
        <f aca="false">I9*L9</f>
        <v>159000</v>
      </c>
      <c r="N9" s="15" t="n">
        <f aca="false">I9*G9</f>
        <v>5565000</v>
      </c>
      <c r="O9" s="12"/>
    </row>
    <row r="10" customFormat="false" ht="15" hidden="false" customHeight="false" outlineLevel="0" collapsed="false">
      <c r="A10" s="12" t="s">
        <v>3693</v>
      </c>
      <c r="B10" s="12" t="s">
        <v>2517</v>
      </c>
      <c r="C10" s="12" t="s">
        <v>2020</v>
      </c>
      <c r="D10" s="12" t="s">
        <v>1227</v>
      </c>
      <c r="E10" s="17" t="n">
        <v>46326</v>
      </c>
      <c r="F10" s="17" t="n">
        <v>46323</v>
      </c>
      <c r="G10" s="15" t="n">
        <v>3100</v>
      </c>
      <c r="H10" s="15" t="n">
        <v>6500</v>
      </c>
      <c r="I10" s="15" t="n">
        <v>1450</v>
      </c>
      <c r="J10" s="15" t="n">
        <f aca="false">MAX(0,H10-I10)</f>
        <v>5050</v>
      </c>
      <c r="K10" s="12" t="str">
        <f aca="false">IF(E10&lt;README!$C$4,"Past",IF(I10&gt;=H10,"FULL",IF(F10&lt;README!$C$4,"Closed","Open")))</f>
        <v>Open</v>
      </c>
      <c r="L10" s="15" t="n">
        <v>60</v>
      </c>
      <c r="M10" s="15" t="n">
        <f aca="false">I10*L10</f>
        <v>87000</v>
      </c>
      <c r="N10" s="15" t="n">
        <f aca="false">I10*G10</f>
        <v>4495000</v>
      </c>
      <c r="O10" s="12"/>
    </row>
    <row r="11" customFormat="false" ht="15" hidden="false" customHeight="false" outlineLevel="0" collapsed="false">
      <c r="A11" s="12" t="s">
        <v>3694</v>
      </c>
      <c r="B11" s="12" t="s">
        <v>2511</v>
      </c>
      <c r="C11" s="12" t="s">
        <v>2012</v>
      </c>
      <c r="D11" s="12" t="s">
        <v>1224</v>
      </c>
      <c r="E11" s="17" t="n">
        <v>46326</v>
      </c>
      <c r="F11" s="17" t="n">
        <v>46323</v>
      </c>
      <c r="G11" s="15" t="n">
        <v>2950</v>
      </c>
      <c r="H11" s="15" t="n">
        <v>4000</v>
      </c>
      <c r="I11" s="15" t="n">
        <v>1700</v>
      </c>
      <c r="J11" s="15" t="n">
        <f aca="false">MAX(0,H11-I11)</f>
        <v>2300</v>
      </c>
      <c r="K11" s="12" t="str">
        <f aca="false">IF(E11&lt;README!$C$4,"Past",IF(I11&gt;=H11,"FULL",IF(F11&lt;README!$C$4,"Closed","Open")))</f>
        <v>Open</v>
      </c>
      <c r="L11" s="15" t="n">
        <v>60</v>
      </c>
      <c r="M11" s="15" t="n">
        <f aca="false">I11*L11</f>
        <v>102000</v>
      </c>
      <c r="N11" s="15" t="n">
        <f aca="false">I11*G11</f>
        <v>5015000</v>
      </c>
      <c r="O11" s="12"/>
    </row>
    <row r="12" customFormat="false" ht="15" hidden="false" customHeight="false" outlineLevel="0" collapsed="false">
      <c r="A12" s="12" t="s">
        <v>3695</v>
      </c>
      <c r="B12" s="12" t="s">
        <v>2493</v>
      </c>
      <c r="C12" s="12" t="s">
        <v>1987</v>
      </c>
      <c r="D12" s="12" t="s">
        <v>1212</v>
      </c>
      <c r="E12" s="17" t="n">
        <v>46326</v>
      </c>
      <c r="F12" s="17" t="n">
        <v>46323</v>
      </c>
      <c r="G12" s="15" t="n">
        <v>2200</v>
      </c>
      <c r="H12" s="15" t="n">
        <v>16000</v>
      </c>
      <c r="I12" s="15" t="n">
        <v>10400</v>
      </c>
      <c r="J12" s="15" t="n">
        <f aca="false">MAX(0,H12-I12)</f>
        <v>5600</v>
      </c>
      <c r="K12" s="12" t="str">
        <f aca="false">IF(E12&lt;README!$C$4,"Past",IF(I12&gt;=H12,"FULL",IF(F12&lt;README!$C$4,"Closed","Open")))</f>
        <v>Open</v>
      </c>
      <c r="L12" s="15" t="n">
        <v>60</v>
      </c>
      <c r="M12" s="15" t="n">
        <f aca="false">I12*L12</f>
        <v>624000</v>
      </c>
      <c r="N12" s="15" t="n">
        <f aca="false">I12*G12</f>
        <v>22880000</v>
      </c>
      <c r="O12" s="12"/>
    </row>
    <row r="13" customFormat="false" ht="15" hidden="false" customHeight="false" outlineLevel="0" collapsed="false">
      <c r="A13" s="12" t="s">
        <v>3696</v>
      </c>
      <c r="B13" s="12" t="s">
        <v>2496</v>
      </c>
      <c r="C13" s="12" t="s">
        <v>1991</v>
      </c>
      <c r="D13" s="12" t="s">
        <v>1215</v>
      </c>
      <c r="E13" s="17" t="n">
        <v>46327</v>
      </c>
      <c r="F13" s="17" t="n">
        <v>46324</v>
      </c>
      <c r="G13" s="15" t="n">
        <v>2050</v>
      </c>
      <c r="H13" s="15" t="n">
        <v>16000</v>
      </c>
      <c r="I13" s="15" t="n">
        <v>13450</v>
      </c>
      <c r="J13" s="15" t="n">
        <f aca="false">MAX(0,H13-I13)</f>
        <v>2550</v>
      </c>
      <c r="K13" s="12" t="str">
        <f aca="false">IF(E13&lt;README!$C$4,"Past",IF(I13&gt;=H13,"FULL",IF(F13&lt;README!$C$4,"Closed","Open")))</f>
        <v>Open</v>
      </c>
      <c r="L13" s="15" t="n">
        <v>60</v>
      </c>
      <c r="M13" s="15" t="n">
        <f aca="false">I13*L13</f>
        <v>807000</v>
      </c>
      <c r="N13" s="15" t="n">
        <f aca="false">I13*G13</f>
        <v>27572500</v>
      </c>
      <c r="O13" s="12"/>
    </row>
    <row r="14" customFormat="false" ht="15" hidden="false" customHeight="false" outlineLevel="0" collapsed="false">
      <c r="A14" s="12" t="s">
        <v>3697</v>
      </c>
      <c r="B14" s="12" t="s">
        <v>2484</v>
      </c>
      <c r="C14" s="12" t="s">
        <v>1975</v>
      </c>
      <c r="D14" s="12" t="s">
        <v>1203</v>
      </c>
      <c r="E14" s="17" t="n">
        <v>46327</v>
      </c>
      <c r="F14" s="17" t="n">
        <v>46324</v>
      </c>
      <c r="G14" s="15" t="n">
        <v>2000</v>
      </c>
      <c r="H14" s="15" t="n">
        <v>9000</v>
      </c>
      <c r="I14" s="15" t="n">
        <v>1950</v>
      </c>
      <c r="J14" s="15" t="n">
        <f aca="false">MAX(0,H14-I14)</f>
        <v>7050</v>
      </c>
      <c r="K14" s="12" t="str">
        <f aca="false">IF(E14&lt;README!$C$4,"Past",IF(I14&gt;=H14,"FULL",IF(F14&lt;README!$C$4,"Closed","Open")))</f>
        <v>Open</v>
      </c>
      <c r="L14" s="15" t="n">
        <v>60</v>
      </c>
      <c r="M14" s="15" t="n">
        <f aca="false">I14*L14</f>
        <v>117000</v>
      </c>
      <c r="N14" s="15" t="n">
        <f aca="false">I14*G14</f>
        <v>3900000</v>
      </c>
      <c r="O14" s="12"/>
    </row>
    <row r="15" customFormat="false" ht="15" hidden="false" customHeight="false" outlineLevel="0" collapsed="false">
      <c r="A15" s="12" t="s">
        <v>3698</v>
      </c>
      <c r="B15" s="12" t="s">
        <v>2505</v>
      </c>
      <c r="C15" s="12" t="s">
        <v>2003</v>
      </c>
      <c r="D15" s="12" t="s">
        <v>1221</v>
      </c>
      <c r="E15" s="17" t="n">
        <v>46327</v>
      </c>
      <c r="F15" s="17" t="n">
        <v>46324</v>
      </c>
      <c r="G15" s="15" t="n">
        <v>3000</v>
      </c>
      <c r="H15" s="15" t="n">
        <v>9500</v>
      </c>
      <c r="I15" s="15" t="n">
        <v>5550</v>
      </c>
      <c r="J15" s="15" t="n">
        <f aca="false">MAX(0,H15-I15)</f>
        <v>3950</v>
      </c>
      <c r="K15" s="12" t="str">
        <f aca="false">IF(E15&lt;README!$C$4,"Past",IF(I15&gt;=H15,"FULL",IF(F15&lt;README!$C$4,"Closed","Open")))</f>
        <v>Open</v>
      </c>
      <c r="L15" s="15" t="n">
        <v>60</v>
      </c>
      <c r="M15" s="15" t="n">
        <f aca="false">I15*L15</f>
        <v>333000</v>
      </c>
      <c r="N15" s="15" t="n">
        <f aca="false">I15*G15</f>
        <v>16650000</v>
      </c>
      <c r="O15" s="12"/>
    </row>
    <row r="16" customFormat="false" ht="15" hidden="false" customHeight="false" outlineLevel="0" collapsed="false">
      <c r="A16" s="12" t="s">
        <v>3699</v>
      </c>
      <c r="B16" s="12" t="s">
        <v>2487</v>
      </c>
      <c r="C16" s="12" t="s">
        <v>1979</v>
      </c>
      <c r="D16" s="12" t="s">
        <v>1206</v>
      </c>
      <c r="E16" s="17" t="n">
        <v>46328</v>
      </c>
      <c r="F16" s="17" t="n">
        <v>46325</v>
      </c>
      <c r="G16" s="15" t="n">
        <v>1950</v>
      </c>
      <c r="H16" s="15" t="n">
        <v>7500</v>
      </c>
      <c r="I16" s="15" t="n">
        <v>2800</v>
      </c>
      <c r="J16" s="15" t="n">
        <f aca="false">MAX(0,H16-I16)</f>
        <v>4700</v>
      </c>
      <c r="K16" s="12" t="str">
        <f aca="false">IF(E16&lt;README!$C$4,"Past",IF(I16&gt;=H16,"FULL",IF(F16&lt;README!$C$4,"Closed","Open")))</f>
        <v>Open</v>
      </c>
      <c r="L16" s="15" t="n">
        <v>60</v>
      </c>
      <c r="M16" s="15" t="n">
        <f aca="false">I16*L16</f>
        <v>168000</v>
      </c>
      <c r="N16" s="15" t="n">
        <f aca="false">I16*G16</f>
        <v>5460000</v>
      </c>
      <c r="O16" s="12"/>
    </row>
    <row r="17" customFormat="false" ht="15" hidden="false" customHeight="false" outlineLevel="0" collapsed="false">
      <c r="A17" s="12" t="s">
        <v>3700</v>
      </c>
      <c r="B17" s="12" t="s">
        <v>2480</v>
      </c>
      <c r="C17" s="12" t="s">
        <v>1968</v>
      </c>
      <c r="D17" s="12" t="s">
        <v>1198</v>
      </c>
      <c r="E17" s="17" t="n">
        <v>46328</v>
      </c>
      <c r="F17" s="17" t="n">
        <v>46325</v>
      </c>
      <c r="G17" s="15" t="n">
        <v>2100</v>
      </c>
      <c r="H17" s="15" t="n">
        <v>16000</v>
      </c>
      <c r="I17" s="15" t="n">
        <v>16000</v>
      </c>
      <c r="J17" s="15" t="n">
        <f aca="false">MAX(0,H17-I17)</f>
        <v>0</v>
      </c>
      <c r="K17" s="12" t="str">
        <f aca="false">IF(E17&lt;README!$C$4,"Past",IF(I17&gt;=H17,"FULL",IF(F17&lt;README!$C$4,"Closed","Open")))</f>
        <v>FULL</v>
      </c>
      <c r="L17" s="15" t="n">
        <v>60</v>
      </c>
      <c r="M17" s="15" t="n">
        <f aca="false">I17*L17</f>
        <v>960000</v>
      </c>
      <c r="N17" s="15" t="n">
        <f aca="false">I17*G17</f>
        <v>33600000</v>
      </c>
      <c r="O17" s="19" t="s">
        <v>3701</v>
      </c>
    </row>
    <row r="18" customFormat="false" ht="15" hidden="false" customHeight="false" outlineLevel="0" collapsed="false">
      <c r="A18" s="12" t="s">
        <v>3702</v>
      </c>
      <c r="B18" s="12" t="s">
        <v>2508</v>
      </c>
      <c r="C18" s="12" t="s">
        <v>2008</v>
      </c>
      <c r="D18" s="12" t="s">
        <v>1224</v>
      </c>
      <c r="E18" s="17" t="n">
        <v>46328</v>
      </c>
      <c r="F18" s="17" t="n">
        <v>46325</v>
      </c>
      <c r="G18" s="15" t="n">
        <v>2050</v>
      </c>
      <c r="H18" s="15" t="n">
        <v>11500</v>
      </c>
      <c r="I18" s="15" t="n">
        <v>9450</v>
      </c>
      <c r="J18" s="15" t="n">
        <f aca="false">MAX(0,H18-I18)</f>
        <v>2050</v>
      </c>
      <c r="K18" s="12" t="str">
        <f aca="false">IF(E18&lt;README!$C$4,"Past",IF(I18&gt;=H18,"FULL",IF(F18&lt;README!$C$4,"Closed","Open")))</f>
        <v>Open</v>
      </c>
      <c r="L18" s="15" t="n">
        <v>60</v>
      </c>
      <c r="M18" s="15" t="n">
        <f aca="false">I18*L18</f>
        <v>567000</v>
      </c>
      <c r="N18" s="15" t="n">
        <f aca="false">I18*G18</f>
        <v>19372500</v>
      </c>
      <c r="O18" s="12"/>
    </row>
    <row r="19" customFormat="false" ht="15" hidden="false" customHeight="false" outlineLevel="0" collapsed="false">
      <c r="A19" s="12" t="s">
        <v>3703</v>
      </c>
      <c r="B19" s="12" t="s">
        <v>2526</v>
      </c>
      <c r="C19" s="12" t="s">
        <v>2033</v>
      </c>
      <c r="D19" s="12" t="s">
        <v>1230</v>
      </c>
      <c r="E19" s="17" t="n">
        <v>46328</v>
      </c>
      <c r="F19" s="17" t="n">
        <v>46325</v>
      </c>
      <c r="G19" s="15" t="n">
        <v>3150</v>
      </c>
      <c r="H19" s="15" t="n">
        <v>5500</v>
      </c>
      <c r="I19" s="15" t="n">
        <v>3450</v>
      </c>
      <c r="J19" s="15" t="n">
        <f aca="false">MAX(0,H19-I19)</f>
        <v>2050</v>
      </c>
      <c r="K19" s="12" t="str">
        <f aca="false">IF(E19&lt;README!$C$4,"Past",IF(I19&gt;=H19,"FULL",IF(F19&lt;README!$C$4,"Closed","Open")))</f>
        <v>Open</v>
      </c>
      <c r="L19" s="15" t="n">
        <v>60</v>
      </c>
      <c r="M19" s="15" t="n">
        <f aca="false">I19*L19</f>
        <v>207000</v>
      </c>
      <c r="N19" s="15" t="n">
        <f aca="false">I19*G19</f>
        <v>10867500</v>
      </c>
      <c r="O19" s="12"/>
    </row>
    <row r="20" customFormat="false" ht="15" hidden="false" customHeight="false" outlineLevel="0" collapsed="false">
      <c r="A20" s="12" t="s">
        <v>3704</v>
      </c>
      <c r="B20" s="12" t="s">
        <v>2529</v>
      </c>
      <c r="C20" s="12" t="s">
        <v>2037</v>
      </c>
      <c r="D20" s="12" t="s">
        <v>1230</v>
      </c>
      <c r="E20" s="17" t="n">
        <v>46328</v>
      </c>
      <c r="F20" s="17" t="n">
        <v>46325</v>
      </c>
      <c r="G20" s="15" t="n">
        <v>2250</v>
      </c>
      <c r="H20" s="15" t="n">
        <v>2500</v>
      </c>
      <c r="I20" s="15" t="n">
        <v>2400</v>
      </c>
      <c r="J20" s="15" t="n">
        <f aca="false">MAX(0,H20-I20)</f>
        <v>100</v>
      </c>
      <c r="K20" s="12" t="str">
        <f aca="false">IF(E20&lt;README!$C$4,"Past",IF(I20&gt;=H20,"FULL",IF(F20&lt;README!$C$4,"Closed","Open")))</f>
        <v>Open</v>
      </c>
      <c r="L20" s="15" t="n">
        <v>60</v>
      </c>
      <c r="M20" s="15" t="n">
        <f aca="false">I20*L20</f>
        <v>144000</v>
      </c>
      <c r="N20" s="15" t="n">
        <f aca="false">I20*G20</f>
        <v>5400000</v>
      </c>
      <c r="O20" s="19" t="s">
        <v>3705</v>
      </c>
    </row>
    <row r="21" customFormat="false" ht="15" hidden="false" customHeight="false" outlineLevel="0" collapsed="false">
      <c r="A21" s="12" t="s">
        <v>3706</v>
      </c>
      <c r="B21" s="12" t="s">
        <v>2499</v>
      </c>
      <c r="C21" s="12" t="s">
        <v>1995</v>
      </c>
      <c r="D21" s="12" t="s">
        <v>1218</v>
      </c>
      <c r="E21" s="17" t="n">
        <v>46330</v>
      </c>
      <c r="F21" s="17" t="n">
        <v>46327</v>
      </c>
      <c r="G21" s="15" t="n">
        <v>2000</v>
      </c>
      <c r="H21" s="15" t="n">
        <v>14000</v>
      </c>
      <c r="I21" s="15" t="n">
        <v>4700</v>
      </c>
      <c r="J21" s="15" t="n">
        <f aca="false">MAX(0,H21-I21)</f>
        <v>9300</v>
      </c>
      <c r="K21" s="12" t="str">
        <f aca="false">IF(E21&lt;README!$C$4,"Past",IF(I21&gt;=H21,"FULL",IF(F21&lt;README!$C$4,"Closed","Open")))</f>
        <v>Open</v>
      </c>
      <c r="L21" s="15" t="n">
        <v>60</v>
      </c>
      <c r="M21" s="15" t="n">
        <f aca="false">I21*L21</f>
        <v>282000</v>
      </c>
      <c r="N21" s="15" t="n">
        <f aca="false">I21*G21</f>
        <v>9400000</v>
      </c>
      <c r="O21" s="12"/>
    </row>
    <row r="22" customFormat="false" ht="15" hidden="false" customHeight="false" outlineLevel="0" collapsed="false">
      <c r="A22" s="12" t="s">
        <v>3707</v>
      </c>
      <c r="B22" s="12" t="s">
        <v>2523</v>
      </c>
      <c r="C22" s="12" t="s">
        <v>2029</v>
      </c>
      <c r="D22" s="12" t="s">
        <v>1230</v>
      </c>
      <c r="E22" s="17" t="n">
        <v>46330</v>
      </c>
      <c r="F22" s="17" t="n">
        <v>46327</v>
      </c>
      <c r="G22" s="15" t="n">
        <v>2250</v>
      </c>
      <c r="H22" s="15" t="n">
        <v>14500</v>
      </c>
      <c r="I22" s="15" t="n">
        <v>9350</v>
      </c>
      <c r="J22" s="15" t="n">
        <f aca="false">MAX(0,H22-I22)</f>
        <v>5150</v>
      </c>
      <c r="K22" s="12" t="str">
        <f aca="false">IF(E22&lt;README!$C$4,"Past",IF(I22&gt;=H22,"FULL",IF(F22&lt;README!$C$4,"Closed","Open")))</f>
        <v>Open</v>
      </c>
      <c r="L22" s="15" t="n">
        <v>60</v>
      </c>
      <c r="M22" s="15" t="n">
        <f aca="false">I22*L22</f>
        <v>561000</v>
      </c>
      <c r="N22" s="15" t="n">
        <f aca="false">I22*G22</f>
        <v>21037500</v>
      </c>
      <c r="O22" s="12"/>
    </row>
    <row r="23" customFormat="false" ht="15" hidden="false" customHeight="false" outlineLevel="0" collapsed="false">
      <c r="A23" s="12" t="s">
        <v>3708</v>
      </c>
      <c r="B23" s="12" t="s">
        <v>2514</v>
      </c>
      <c r="C23" s="12" t="s">
        <v>2016</v>
      </c>
      <c r="D23" s="12" t="s">
        <v>1227</v>
      </c>
      <c r="E23" s="17" t="n">
        <v>46331</v>
      </c>
      <c r="F23" s="17" t="n">
        <v>46328</v>
      </c>
      <c r="G23" s="15" t="n">
        <v>2200</v>
      </c>
      <c r="H23" s="15" t="n">
        <v>6500</v>
      </c>
      <c r="I23" s="15" t="n">
        <v>5300</v>
      </c>
      <c r="J23" s="15" t="n">
        <f aca="false">MAX(0,H23-I23)</f>
        <v>1200</v>
      </c>
      <c r="K23" s="12" t="str">
        <f aca="false">IF(E23&lt;README!$C$4,"Past",IF(I23&gt;=H23,"FULL",IF(F23&lt;README!$C$4,"Closed","Open")))</f>
        <v>Open</v>
      </c>
      <c r="L23" s="15" t="n">
        <v>60</v>
      </c>
      <c r="M23" s="15" t="n">
        <f aca="false">I23*L23</f>
        <v>318000</v>
      </c>
      <c r="N23" s="15" t="n">
        <f aca="false">I23*G23</f>
        <v>11660000</v>
      </c>
      <c r="O23" s="12"/>
    </row>
    <row r="24" customFormat="false" ht="15" hidden="false" customHeight="false" outlineLevel="0" collapsed="false">
      <c r="A24" s="12" t="s">
        <v>3709</v>
      </c>
      <c r="B24" s="12" t="s">
        <v>2520</v>
      </c>
      <c r="C24" s="12" t="s">
        <v>2024</v>
      </c>
      <c r="D24" s="12" t="s">
        <v>1227</v>
      </c>
      <c r="E24" s="17" t="n">
        <v>46331</v>
      </c>
      <c r="F24" s="17" t="n">
        <v>46328</v>
      </c>
      <c r="G24" s="15" t="n">
        <v>2100</v>
      </c>
      <c r="H24" s="15" t="n">
        <v>2500</v>
      </c>
      <c r="I24" s="15" t="n">
        <v>2500</v>
      </c>
      <c r="J24" s="15" t="n">
        <f aca="false">MAX(0,H24-I24)</f>
        <v>0</v>
      </c>
      <c r="K24" s="12" t="str">
        <f aca="false">IF(E24&lt;README!$C$4,"Past",IF(I24&gt;=H24,"FULL",IF(F24&lt;README!$C$4,"Closed","Open")))</f>
        <v>FULL</v>
      </c>
      <c r="L24" s="15" t="n">
        <v>60</v>
      </c>
      <c r="M24" s="15" t="n">
        <f aca="false">I24*L24</f>
        <v>150000</v>
      </c>
      <c r="N24" s="15" t="n">
        <f aca="false">I24*G24</f>
        <v>5250000</v>
      </c>
      <c r="O24" s="19" t="s">
        <v>3710</v>
      </c>
    </row>
    <row r="25" customFormat="false" ht="15" hidden="false" customHeight="false" outlineLevel="0" collapsed="false">
      <c r="A25" s="12" t="s">
        <v>3711</v>
      </c>
      <c r="B25" s="12" t="s">
        <v>2490</v>
      </c>
      <c r="C25" s="12" t="s">
        <v>1983</v>
      </c>
      <c r="D25" s="12" t="s">
        <v>1209</v>
      </c>
      <c r="E25" s="17" t="n">
        <v>46331</v>
      </c>
      <c r="F25" s="17" t="n">
        <v>46328</v>
      </c>
      <c r="G25" s="15" t="n">
        <v>2150</v>
      </c>
      <c r="H25" s="15" t="n">
        <v>17000</v>
      </c>
      <c r="I25" s="15" t="n">
        <v>13550</v>
      </c>
      <c r="J25" s="15" t="n">
        <f aca="false">MAX(0,H25-I25)</f>
        <v>3450</v>
      </c>
      <c r="K25" s="12" t="str">
        <f aca="false">IF(E25&lt;README!$C$4,"Past",IF(I25&gt;=H25,"FULL",IF(F25&lt;README!$C$4,"Closed","Open")))</f>
        <v>Open</v>
      </c>
      <c r="L25" s="15" t="n">
        <v>60</v>
      </c>
      <c r="M25" s="15" t="n">
        <f aca="false">I25*L25</f>
        <v>813000</v>
      </c>
      <c r="N25" s="15" t="n">
        <f aca="false">I25*G25</f>
        <v>29132500</v>
      </c>
      <c r="O25" s="12"/>
    </row>
    <row r="26" customFormat="false" ht="15" hidden="false" customHeight="false" outlineLevel="0" collapsed="false">
      <c r="A26" s="12" t="s">
        <v>3712</v>
      </c>
      <c r="B26" s="12" t="s">
        <v>2502</v>
      </c>
      <c r="C26" s="12" t="s">
        <v>1999</v>
      </c>
      <c r="D26" s="12" t="s">
        <v>1221</v>
      </c>
      <c r="E26" s="17" t="n">
        <v>46331</v>
      </c>
      <c r="F26" s="17" t="n">
        <v>46328</v>
      </c>
      <c r="G26" s="15" t="n">
        <v>2100</v>
      </c>
      <c r="H26" s="15" t="n">
        <v>18000</v>
      </c>
      <c r="I26" s="15" t="n">
        <v>13450</v>
      </c>
      <c r="J26" s="15" t="n">
        <f aca="false">MAX(0,H26-I26)</f>
        <v>4550</v>
      </c>
      <c r="K26" s="12" t="str">
        <f aca="false">IF(E26&lt;README!$C$4,"Past",IF(I26&gt;=H26,"FULL",IF(F26&lt;README!$C$4,"Closed","Open")))</f>
        <v>Open</v>
      </c>
      <c r="L26" s="15" t="n">
        <v>60</v>
      </c>
      <c r="M26" s="15" t="n">
        <f aca="false">I26*L26</f>
        <v>807000</v>
      </c>
      <c r="N26" s="15" t="n">
        <f aca="false">I26*G26</f>
        <v>28245000</v>
      </c>
      <c r="O26" s="12"/>
    </row>
    <row r="27" customFormat="false" ht="15" hidden="false" customHeight="false" outlineLevel="0" collapsed="false">
      <c r="A27" s="12" t="s">
        <v>3713</v>
      </c>
      <c r="B27" s="12" t="s">
        <v>2517</v>
      </c>
      <c r="C27" s="12" t="s">
        <v>2020</v>
      </c>
      <c r="D27" s="12" t="s">
        <v>1227</v>
      </c>
      <c r="E27" s="17" t="n">
        <v>46333</v>
      </c>
      <c r="F27" s="17" t="n">
        <v>46330</v>
      </c>
      <c r="G27" s="15" t="n">
        <v>3100</v>
      </c>
      <c r="H27" s="15" t="n">
        <v>6000</v>
      </c>
      <c r="I27" s="15" t="n">
        <v>4900</v>
      </c>
      <c r="J27" s="15" t="n">
        <f aca="false">MAX(0,H27-I27)</f>
        <v>1100</v>
      </c>
      <c r="K27" s="12" t="str">
        <f aca="false">IF(E27&lt;README!$C$4,"Past",IF(I27&gt;=H27,"FULL",IF(F27&lt;README!$C$4,"Closed","Open")))</f>
        <v>Open</v>
      </c>
      <c r="L27" s="15" t="n">
        <v>60</v>
      </c>
      <c r="M27" s="15" t="n">
        <f aca="false">I27*L27</f>
        <v>294000</v>
      </c>
      <c r="N27" s="15" t="n">
        <f aca="false">I27*G27</f>
        <v>15190000</v>
      </c>
      <c r="O27" s="12"/>
    </row>
    <row r="28" customFormat="false" ht="15" hidden="false" customHeight="false" outlineLevel="0" collapsed="false">
      <c r="A28" s="12" t="s">
        <v>3714</v>
      </c>
      <c r="B28" s="12" t="s">
        <v>2511</v>
      </c>
      <c r="C28" s="12" t="s">
        <v>2012</v>
      </c>
      <c r="D28" s="12" t="s">
        <v>1224</v>
      </c>
      <c r="E28" s="17" t="n">
        <v>46333</v>
      </c>
      <c r="F28" s="17" t="n">
        <v>46330</v>
      </c>
      <c r="G28" s="15" t="n">
        <v>2950</v>
      </c>
      <c r="H28" s="15" t="n">
        <v>3000</v>
      </c>
      <c r="I28" s="15" t="n">
        <v>850</v>
      </c>
      <c r="J28" s="15" t="n">
        <f aca="false">MAX(0,H28-I28)</f>
        <v>2150</v>
      </c>
      <c r="K28" s="12" t="str">
        <f aca="false">IF(E28&lt;README!$C$4,"Past",IF(I28&gt;=H28,"FULL",IF(F28&lt;README!$C$4,"Closed","Open")))</f>
        <v>Open</v>
      </c>
      <c r="L28" s="15" t="n">
        <v>60</v>
      </c>
      <c r="M28" s="15" t="n">
        <f aca="false">I28*L28</f>
        <v>51000</v>
      </c>
      <c r="N28" s="15" t="n">
        <f aca="false">I28*G28</f>
        <v>2507500</v>
      </c>
      <c r="O28" s="12"/>
    </row>
    <row r="29" customFormat="false" ht="15" hidden="false" customHeight="false" outlineLevel="0" collapsed="false">
      <c r="A29" s="12" t="s">
        <v>3715</v>
      </c>
      <c r="B29" s="12" t="s">
        <v>2493</v>
      </c>
      <c r="C29" s="12" t="s">
        <v>1987</v>
      </c>
      <c r="D29" s="12" t="s">
        <v>1212</v>
      </c>
      <c r="E29" s="17" t="n">
        <v>46333</v>
      </c>
      <c r="F29" s="17" t="n">
        <v>46330</v>
      </c>
      <c r="G29" s="15" t="n">
        <v>2200</v>
      </c>
      <c r="H29" s="15" t="n">
        <v>17000</v>
      </c>
      <c r="I29" s="15" t="n">
        <v>2550</v>
      </c>
      <c r="J29" s="15" t="n">
        <f aca="false">MAX(0,H29-I29)</f>
        <v>14450</v>
      </c>
      <c r="K29" s="12" t="str">
        <f aca="false">IF(E29&lt;README!$C$4,"Past",IF(I29&gt;=H29,"FULL",IF(F29&lt;README!$C$4,"Closed","Open")))</f>
        <v>Open</v>
      </c>
      <c r="L29" s="15" t="n">
        <v>60</v>
      </c>
      <c r="M29" s="15" t="n">
        <f aca="false">I29*L29</f>
        <v>153000</v>
      </c>
      <c r="N29" s="15" t="n">
        <f aca="false">I29*G29</f>
        <v>5610000</v>
      </c>
      <c r="O29" s="12"/>
    </row>
    <row r="30" customFormat="false" ht="15" hidden="false" customHeight="false" outlineLevel="0" collapsed="false">
      <c r="A30" s="12" t="s">
        <v>3716</v>
      </c>
      <c r="B30" s="12" t="s">
        <v>2496</v>
      </c>
      <c r="C30" s="12" t="s">
        <v>1991</v>
      </c>
      <c r="D30" s="12" t="s">
        <v>1215</v>
      </c>
      <c r="E30" s="17" t="n">
        <v>46334</v>
      </c>
      <c r="F30" s="17" t="n">
        <v>46331</v>
      </c>
      <c r="G30" s="15" t="n">
        <v>2050</v>
      </c>
      <c r="H30" s="15" t="n">
        <v>7000</v>
      </c>
      <c r="I30" s="15" t="n">
        <v>1850</v>
      </c>
      <c r="J30" s="15" t="n">
        <f aca="false">MAX(0,H30-I30)</f>
        <v>5150</v>
      </c>
      <c r="K30" s="12" t="str">
        <f aca="false">IF(E30&lt;README!$C$4,"Past",IF(I30&gt;=H30,"FULL",IF(F30&lt;README!$C$4,"Closed","Open")))</f>
        <v>Open</v>
      </c>
      <c r="L30" s="15" t="n">
        <v>60</v>
      </c>
      <c r="M30" s="15" t="n">
        <f aca="false">I30*L30</f>
        <v>111000</v>
      </c>
      <c r="N30" s="15" t="n">
        <f aca="false">I30*G30</f>
        <v>3792500</v>
      </c>
      <c r="O30" s="12"/>
    </row>
    <row r="31" customFormat="false" ht="15" hidden="false" customHeight="false" outlineLevel="0" collapsed="false">
      <c r="A31" s="12" t="s">
        <v>3717</v>
      </c>
      <c r="B31" s="12" t="s">
        <v>2484</v>
      </c>
      <c r="C31" s="12" t="s">
        <v>1975</v>
      </c>
      <c r="D31" s="12" t="s">
        <v>1203</v>
      </c>
      <c r="E31" s="17" t="n">
        <v>46334</v>
      </c>
      <c r="F31" s="17" t="n">
        <v>46331</v>
      </c>
      <c r="G31" s="15" t="n">
        <v>2000</v>
      </c>
      <c r="H31" s="15" t="n">
        <v>10000</v>
      </c>
      <c r="I31" s="15" t="n">
        <v>7100</v>
      </c>
      <c r="J31" s="15" t="n">
        <f aca="false">MAX(0,H31-I31)</f>
        <v>2900</v>
      </c>
      <c r="K31" s="12" t="str">
        <f aca="false">IF(E31&lt;README!$C$4,"Past",IF(I31&gt;=H31,"FULL",IF(F31&lt;README!$C$4,"Closed","Open")))</f>
        <v>Open</v>
      </c>
      <c r="L31" s="15" t="n">
        <v>60</v>
      </c>
      <c r="M31" s="15" t="n">
        <f aca="false">I31*L31</f>
        <v>426000</v>
      </c>
      <c r="N31" s="15" t="n">
        <f aca="false">I31*G31</f>
        <v>14200000</v>
      </c>
      <c r="O31" s="12"/>
    </row>
    <row r="32" customFormat="false" ht="15" hidden="false" customHeight="false" outlineLevel="0" collapsed="false">
      <c r="A32" s="12" t="s">
        <v>3718</v>
      </c>
      <c r="B32" s="12" t="s">
        <v>2505</v>
      </c>
      <c r="C32" s="12" t="s">
        <v>2003</v>
      </c>
      <c r="D32" s="12" t="s">
        <v>1221</v>
      </c>
      <c r="E32" s="17" t="n">
        <v>46334</v>
      </c>
      <c r="F32" s="17" t="n">
        <v>46331</v>
      </c>
      <c r="G32" s="15" t="n">
        <v>3000</v>
      </c>
      <c r="H32" s="15" t="n">
        <v>5500</v>
      </c>
      <c r="I32" s="15" t="n">
        <v>750</v>
      </c>
      <c r="J32" s="15" t="n">
        <f aca="false">MAX(0,H32-I32)</f>
        <v>4750</v>
      </c>
      <c r="K32" s="12" t="str">
        <f aca="false">IF(E32&lt;README!$C$4,"Past",IF(I32&gt;=H32,"FULL",IF(F32&lt;README!$C$4,"Closed","Open")))</f>
        <v>Open</v>
      </c>
      <c r="L32" s="15" t="n">
        <v>60</v>
      </c>
      <c r="M32" s="15" t="n">
        <f aca="false">I32*L32</f>
        <v>45000</v>
      </c>
      <c r="N32" s="15" t="n">
        <f aca="false">I32*G32</f>
        <v>2250000</v>
      </c>
      <c r="O32" s="12"/>
    </row>
    <row r="33" customFormat="false" ht="15" hidden="false" customHeight="false" outlineLevel="0" collapsed="false">
      <c r="A33" s="12" t="s">
        <v>3719</v>
      </c>
      <c r="B33" s="12" t="s">
        <v>2487</v>
      </c>
      <c r="C33" s="12" t="s">
        <v>1979</v>
      </c>
      <c r="D33" s="12" t="s">
        <v>1206</v>
      </c>
      <c r="E33" s="17" t="n">
        <v>46335</v>
      </c>
      <c r="F33" s="17" t="n">
        <v>46332</v>
      </c>
      <c r="G33" s="15" t="n">
        <v>1950</v>
      </c>
      <c r="H33" s="15" t="n">
        <v>17000</v>
      </c>
      <c r="I33" s="15" t="n">
        <v>13200</v>
      </c>
      <c r="J33" s="15" t="n">
        <f aca="false">MAX(0,H33-I33)</f>
        <v>3800</v>
      </c>
      <c r="K33" s="12" t="str">
        <f aca="false">IF(E33&lt;README!$C$4,"Past",IF(I33&gt;=H33,"FULL",IF(F33&lt;README!$C$4,"Closed","Open")))</f>
        <v>Open</v>
      </c>
      <c r="L33" s="15" t="n">
        <v>60</v>
      </c>
      <c r="M33" s="15" t="n">
        <f aca="false">I33*L33</f>
        <v>792000</v>
      </c>
      <c r="N33" s="15" t="n">
        <f aca="false">I33*G33</f>
        <v>25740000</v>
      </c>
      <c r="O33" s="12"/>
    </row>
    <row r="34" customFormat="false" ht="15" hidden="false" customHeight="false" outlineLevel="0" collapsed="false">
      <c r="A34" s="12" t="s">
        <v>3720</v>
      </c>
      <c r="B34" s="12" t="s">
        <v>2480</v>
      </c>
      <c r="C34" s="12" t="s">
        <v>1968</v>
      </c>
      <c r="D34" s="12" t="s">
        <v>1198</v>
      </c>
      <c r="E34" s="17" t="n">
        <v>46335</v>
      </c>
      <c r="F34" s="17" t="n">
        <v>46332</v>
      </c>
      <c r="G34" s="15" t="n">
        <v>2100</v>
      </c>
      <c r="H34" s="15" t="n">
        <v>9500</v>
      </c>
      <c r="I34" s="15" t="n">
        <v>2900</v>
      </c>
      <c r="J34" s="15" t="n">
        <f aca="false">MAX(0,H34-I34)</f>
        <v>6600</v>
      </c>
      <c r="K34" s="12" t="str">
        <f aca="false">IF(E34&lt;README!$C$4,"Past",IF(I34&gt;=H34,"FULL",IF(F34&lt;README!$C$4,"Closed","Open")))</f>
        <v>Open</v>
      </c>
      <c r="L34" s="15" t="n">
        <v>60</v>
      </c>
      <c r="M34" s="15" t="n">
        <f aca="false">I34*L34</f>
        <v>174000</v>
      </c>
      <c r="N34" s="15" t="n">
        <f aca="false">I34*G34</f>
        <v>6090000</v>
      </c>
      <c r="O34" s="12"/>
    </row>
    <row r="35" customFormat="false" ht="15" hidden="false" customHeight="false" outlineLevel="0" collapsed="false">
      <c r="A35" s="12" t="s">
        <v>3721</v>
      </c>
      <c r="B35" s="12" t="s">
        <v>2508</v>
      </c>
      <c r="C35" s="12" t="s">
        <v>2008</v>
      </c>
      <c r="D35" s="12" t="s">
        <v>1224</v>
      </c>
      <c r="E35" s="17" t="n">
        <v>46335</v>
      </c>
      <c r="F35" s="17" t="n">
        <v>46332</v>
      </c>
      <c r="G35" s="15" t="n">
        <v>2050</v>
      </c>
      <c r="H35" s="15" t="n">
        <v>7500</v>
      </c>
      <c r="I35" s="15" t="n">
        <v>5250</v>
      </c>
      <c r="J35" s="15" t="n">
        <f aca="false">MAX(0,H35-I35)</f>
        <v>2250</v>
      </c>
      <c r="K35" s="12" t="str">
        <f aca="false">IF(E35&lt;README!$C$4,"Past",IF(I35&gt;=H35,"FULL",IF(F35&lt;README!$C$4,"Closed","Open")))</f>
        <v>Open</v>
      </c>
      <c r="L35" s="15" t="n">
        <v>60</v>
      </c>
      <c r="M35" s="15" t="n">
        <f aca="false">I35*L35</f>
        <v>315000</v>
      </c>
      <c r="N35" s="15" t="n">
        <f aca="false">I35*G35</f>
        <v>10762500</v>
      </c>
      <c r="O35" s="12"/>
    </row>
    <row r="36" customFormat="false" ht="15" hidden="false" customHeight="false" outlineLevel="0" collapsed="false">
      <c r="A36" s="12" t="s">
        <v>3722</v>
      </c>
      <c r="B36" s="12" t="s">
        <v>2526</v>
      </c>
      <c r="C36" s="12" t="s">
        <v>2033</v>
      </c>
      <c r="D36" s="12" t="s">
        <v>1230</v>
      </c>
      <c r="E36" s="17" t="n">
        <v>46335</v>
      </c>
      <c r="F36" s="17" t="n">
        <v>46332</v>
      </c>
      <c r="G36" s="15" t="n">
        <v>3150</v>
      </c>
      <c r="H36" s="15" t="n">
        <v>4000</v>
      </c>
      <c r="I36" s="15" t="n">
        <v>1750</v>
      </c>
      <c r="J36" s="15" t="n">
        <f aca="false">MAX(0,H36-I36)</f>
        <v>2250</v>
      </c>
      <c r="K36" s="12" t="str">
        <f aca="false">IF(E36&lt;README!$C$4,"Past",IF(I36&gt;=H36,"FULL",IF(F36&lt;README!$C$4,"Closed","Open")))</f>
        <v>Open</v>
      </c>
      <c r="L36" s="15" t="n">
        <v>60</v>
      </c>
      <c r="M36" s="15" t="n">
        <f aca="false">I36*L36</f>
        <v>105000</v>
      </c>
      <c r="N36" s="15" t="n">
        <f aca="false">I36*G36</f>
        <v>5512500</v>
      </c>
      <c r="O36" s="12"/>
    </row>
    <row r="37" customFormat="false" ht="15" hidden="false" customHeight="false" outlineLevel="0" collapsed="false">
      <c r="A37" s="12" t="s">
        <v>3723</v>
      </c>
      <c r="B37" s="12" t="s">
        <v>2529</v>
      </c>
      <c r="C37" s="12" t="s">
        <v>2037</v>
      </c>
      <c r="D37" s="12" t="s">
        <v>1230</v>
      </c>
      <c r="E37" s="17" t="n">
        <v>46335</v>
      </c>
      <c r="F37" s="17" t="n">
        <v>46332</v>
      </c>
      <c r="G37" s="15" t="n">
        <v>2250</v>
      </c>
      <c r="H37" s="15" t="n">
        <v>3500</v>
      </c>
      <c r="I37" s="15" t="n">
        <v>2600</v>
      </c>
      <c r="J37" s="15" t="n">
        <f aca="false">MAX(0,H37-I37)</f>
        <v>900</v>
      </c>
      <c r="K37" s="12" t="str">
        <f aca="false">IF(E37&lt;README!$C$4,"Past",IF(I37&gt;=H37,"FULL",IF(F37&lt;README!$C$4,"Closed","Open")))</f>
        <v>Open</v>
      </c>
      <c r="L37" s="15" t="n">
        <v>60</v>
      </c>
      <c r="M37" s="15" t="n">
        <f aca="false">I37*L37</f>
        <v>156000</v>
      </c>
      <c r="N37" s="15" t="n">
        <f aca="false">I37*G37</f>
        <v>5850000</v>
      </c>
      <c r="O37" s="12"/>
    </row>
    <row r="38" customFormat="false" ht="15" hidden="false" customHeight="false" outlineLevel="0" collapsed="false">
      <c r="A38" s="12" t="s">
        <v>3724</v>
      </c>
      <c r="B38" s="12" t="s">
        <v>2499</v>
      </c>
      <c r="C38" s="12" t="s">
        <v>1995</v>
      </c>
      <c r="D38" s="12" t="s">
        <v>1218</v>
      </c>
      <c r="E38" s="17" t="n">
        <v>46337</v>
      </c>
      <c r="F38" s="17" t="n">
        <v>46334</v>
      </c>
      <c r="G38" s="15" t="n">
        <v>2000</v>
      </c>
      <c r="H38" s="15" t="n">
        <v>15500</v>
      </c>
      <c r="I38" s="15" t="n">
        <v>2750</v>
      </c>
      <c r="J38" s="15" t="n">
        <f aca="false">MAX(0,H38-I38)</f>
        <v>12750</v>
      </c>
      <c r="K38" s="12" t="str">
        <f aca="false">IF(E38&lt;README!$C$4,"Past",IF(I38&gt;=H38,"FULL",IF(F38&lt;README!$C$4,"Closed","Open")))</f>
        <v>Open</v>
      </c>
      <c r="L38" s="15" t="n">
        <v>60</v>
      </c>
      <c r="M38" s="15" t="n">
        <f aca="false">I38*L38</f>
        <v>165000</v>
      </c>
      <c r="N38" s="15" t="n">
        <f aca="false">I38*G38</f>
        <v>5500000</v>
      </c>
      <c r="O38" s="12"/>
    </row>
    <row r="39" customFormat="false" ht="15" hidden="false" customHeight="false" outlineLevel="0" collapsed="false">
      <c r="A39" s="12" t="s">
        <v>3725</v>
      </c>
      <c r="B39" s="12" t="s">
        <v>2523</v>
      </c>
      <c r="C39" s="12" t="s">
        <v>2029</v>
      </c>
      <c r="D39" s="12" t="s">
        <v>1230</v>
      </c>
      <c r="E39" s="17" t="n">
        <v>46337</v>
      </c>
      <c r="F39" s="17" t="n">
        <v>46334</v>
      </c>
      <c r="G39" s="15" t="n">
        <v>2250</v>
      </c>
      <c r="H39" s="15" t="n">
        <v>16000</v>
      </c>
      <c r="I39" s="15" t="n">
        <v>1750</v>
      </c>
      <c r="J39" s="15" t="n">
        <f aca="false">MAX(0,H39-I39)</f>
        <v>14250</v>
      </c>
      <c r="K39" s="12" t="str">
        <f aca="false">IF(E39&lt;README!$C$4,"Past",IF(I39&gt;=H39,"FULL",IF(F39&lt;README!$C$4,"Closed","Open")))</f>
        <v>Open</v>
      </c>
      <c r="L39" s="15" t="n">
        <v>60</v>
      </c>
      <c r="M39" s="15" t="n">
        <f aca="false">I39*L39</f>
        <v>105000</v>
      </c>
      <c r="N39" s="15" t="n">
        <f aca="false">I39*G39</f>
        <v>3937500</v>
      </c>
      <c r="O39" s="12"/>
    </row>
    <row r="40" customFormat="false" ht="15" hidden="false" customHeight="false" outlineLevel="0" collapsed="false">
      <c r="A40" s="12" t="s">
        <v>3726</v>
      </c>
      <c r="B40" s="12" t="s">
        <v>2514</v>
      </c>
      <c r="C40" s="12" t="s">
        <v>2016</v>
      </c>
      <c r="D40" s="12" t="s">
        <v>1227</v>
      </c>
      <c r="E40" s="17" t="n">
        <v>46338</v>
      </c>
      <c r="F40" s="17" t="n">
        <v>46335</v>
      </c>
      <c r="G40" s="15" t="n">
        <v>2200</v>
      </c>
      <c r="H40" s="15" t="n">
        <v>6500</v>
      </c>
      <c r="I40" s="15" t="n">
        <v>5100</v>
      </c>
      <c r="J40" s="15" t="n">
        <f aca="false">MAX(0,H40-I40)</f>
        <v>1400</v>
      </c>
      <c r="K40" s="12" t="str">
        <f aca="false">IF(E40&lt;README!$C$4,"Past",IF(I40&gt;=H40,"FULL",IF(F40&lt;README!$C$4,"Closed","Open")))</f>
        <v>Open</v>
      </c>
      <c r="L40" s="15" t="n">
        <v>60</v>
      </c>
      <c r="M40" s="15" t="n">
        <f aca="false">I40*L40</f>
        <v>306000</v>
      </c>
      <c r="N40" s="15" t="n">
        <f aca="false">I40*G40</f>
        <v>11220000</v>
      </c>
      <c r="O40" s="12"/>
    </row>
    <row r="41" customFormat="false" ht="15" hidden="false" customHeight="false" outlineLevel="0" collapsed="false">
      <c r="A41" s="12" t="s">
        <v>3727</v>
      </c>
      <c r="B41" s="12" t="s">
        <v>2520</v>
      </c>
      <c r="C41" s="12" t="s">
        <v>2024</v>
      </c>
      <c r="D41" s="12" t="s">
        <v>1227</v>
      </c>
      <c r="E41" s="17" t="n">
        <v>46338</v>
      </c>
      <c r="F41" s="17" t="n">
        <v>46335</v>
      </c>
      <c r="G41" s="15" t="n">
        <v>2100</v>
      </c>
      <c r="H41" s="15" t="n">
        <v>4000</v>
      </c>
      <c r="I41" s="15" t="n">
        <v>850</v>
      </c>
      <c r="J41" s="15" t="n">
        <f aca="false">MAX(0,H41-I41)</f>
        <v>3150</v>
      </c>
      <c r="K41" s="12" t="str">
        <f aca="false">IF(E41&lt;README!$C$4,"Past",IF(I41&gt;=H41,"FULL",IF(F41&lt;README!$C$4,"Closed","Open")))</f>
        <v>Open</v>
      </c>
      <c r="L41" s="15" t="n">
        <v>60</v>
      </c>
      <c r="M41" s="15" t="n">
        <f aca="false">I41*L41</f>
        <v>51000</v>
      </c>
      <c r="N41" s="15" t="n">
        <f aca="false">I41*G41</f>
        <v>1785000</v>
      </c>
      <c r="O41" s="12"/>
    </row>
    <row r="42" customFormat="false" ht="15" hidden="false" customHeight="false" outlineLevel="0" collapsed="false">
      <c r="A42" s="12" t="s">
        <v>3728</v>
      </c>
      <c r="B42" s="12" t="s">
        <v>2490</v>
      </c>
      <c r="C42" s="12" t="s">
        <v>1983</v>
      </c>
      <c r="D42" s="12" t="s">
        <v>1209</v>
      </c>
      <c r="E42" s="17" t="n">
        <v>46338</v>
      </c>
      <c r="F42" s="17" t="n">
        <v>46335</v>
      </c>
      <c r="G42" s="15" t="n">
        <v>2150</v>
      </c>
      <c r="H42" s="15" t="n">
        <v>10500</v>
      </c>
      <c r="I42" s="15" t="n">
        <v>6650</v>
      </c>
      <c r="J42" s="15" t="n">
        <f aca="false">MAX(0,H42-I42)</f>
        <v>3850</v>
      </c>
      <c r="K42" s="12" t="str">
        <f aca="false">IF(E42&lt;README!$C$4,"Past",IF(I42&gt;=H42,"FULL",IF(F42&lt;README!$C$4,"Closed","Open")))</f>
        <v>Open</v>
      </c>
      <c r="L42" s="15" t="n">
        <v>60</v>
      </c>
      <c r="M42" s="15" t="n">
        <f aca="false">I42*L42</f>
        <v>399000</v>
      </c>
      <c r="N42" s="15" t="n">
        <f aca="false">I42*G42</f>
        <v>14297500</v>
      </c>
      <c r="O42" s="12"/>
    </row>
    <row r="43" customFormat="false" ht="15" hidden="false" customHeight="false" outlineLevel="0" collapsed="false">
      <c r="A43" s="12" t="s">
        <v>3729</v>
      </c>
      <c r="B43" s="12" t="s">
        <v>2502</v>
      </c>
      <c r="C43" s="12" t="s">
        <v>1999</v>
      </c>
      <c r="D43" s="12" t="s">
        <v>1221</v>
      </c>
      <c r="E43" s="17" t="n">
        <v>46338</v>
      </c>
      <c r="F43" s="17" t="n">
        <v>46335</v>
      </c>
      <c r="G43" s="15" t="n">
        <v>2100</v>
      </c>
      <c r="H43" s="15" t="n">
        <v>9500</v>
      </c>
      <c r="I43" s="15" t="n">
        <v>3550</v>
      </c>
      <c r="J43" s="15" t="n">
        <f aca="false">MAX(0,H43-I43)</f>
        <v>5950</v>
      </c>
      <c r="K43" s="12" t="str">
        <f aca="false">IF(E43&lt;README!$C$4,"Past",IF(I43&gt;=H43,"FULL",IF(F43&lt;README!$C$4,"Closed","Open")))</f>
        <v>Open</v>
      </c>
      <c r="L43" s="15" t="n">
        <v>60</v>
      </c>
      <c r="M43" s="15" t="n">
        <f aca="false">I43*L43</f>
        <v>213000</v>
      </c>
      <c r="N43" s="15" t="n">
        <f aca="false">I43*G43</f>
        <v>7455000</v>
      </c>
      <c r="O43" s="12"/>
    </row>
    <row r="44" customFormat="false" ht="15" hidden="false" customHeight="false" outlineLevel="0" collapsed="false">
      <c r="A44" s="12" t="s">
        <v>3730</v>
      </c>
      <c r="B44" s="12" t="s">
        <v>2517</v>
      </c>
      <c r="C44" s="12" t="s">
        <v>2020</v>
      </c>
      <c r="D44" s="12" t="s">
        <v>1227</v>
      </c>
      <c r="E44" s="17" t="n">
        <v>46340</v>
      </c>
      <c r="F44" s="17" t="n">
        <v>46337</v>
      </c>
      <c r="G44" s="15" t="n">
        <v>3100</v>
      </c>
      <c r="H44" s="15" t="n">
        <v>8000</v>
      </c>
      <c r="I44" s="15" t="n">
        <v>6200</v>
      </c>
      <c r="J44" s="15" t="n">
        <f aca="false">MAX(0,H44-I44)</f>
        <v>1800</v>
      </c>
      <c r="K44" s="12" t="str">
        <f aca="false">IF(E44&lt;README!$C$4,"Past",IF(I44&gt;=H44,"FULL",IF(F44&lt;README!$C$4,"Closed","Open")))</f>
        <v>Open</v>
      </c>
      <c r="L44" s="15" t="n">
        <v>60</v>
      </c>
      <c r="M44" s="15" t="n">
        <f aca="false">I44*L44</f>
        <v>372000</v>
      </c>
      <c r="N44" s="15" t="n">
        <f aca="false">I44*G44</f>
        <v>19220000</v>
      </c>
      <c r="O44" s="12"/>
    </row>
    <row r="45" customFormat="false" ht="15" hidden="false" customHeight="false" outlineLevel="0" collapsed="false">
      <c r="A45" s="12" t="s">
        <v>3731</v>
      </c>
      <c r="B45" s="12" t="s">
        <v>2511</v>
      </c>
      <c r="C45" s="12" t="s">
        <v>2012</v>
      </c>
      <c r="D45" s="12" t="s">
        <v>1224</v>
      </c>
      <c r="E45" s="17" t="n">
        <v>46340</v>
      </c>
      <c r="F45" s="17" t="n">
        <v>46337</v>
      </c>
      <c r="G45" s="15" t="n">
        <v>2950</v>
      </c>
      <c r="H45" s="15" t="n">
        <v>8500</v>
      </c>
      <c r="I45" s="15" t="n">
        <v>2500</v>
      </c>
      <c r="J45" s="15" t="n">
        <f aca="false">MAX(0,H45-I45)</f>
        <v>6000</v>
      </c>
      <c r="K45" s="12" t="str">
        <f aca="false">IF(E45&lt;README!$C$4,"Past",IF(I45&gt;=H45,"FULL",IF(F45&lt;README!$C$4,"Closed","Open")))</f>
        <v>Open</v>
      </c>
      <c r="L45" s="15" t="n">
        <v>60</v>
      </c>
      <c r="M45" s="15" t="n">
        <f aca="false">I45*L45</f>
        <v>150000</v>
      </c>
      <c r="N45" s="15" t="n">
        <f aca="false">I45*G45</f>
        <v>7375000</v>
      </c>
      <c r="O45" s="12"/>
    </row>
    <row r="46" customFormat="false" ht="15" hidden="false" customHeight="false" outlineLevel="0" collapsed="false">
      <c r="A46" s="12" t="s">
        <v>3732</v>
      </c>
      <c r="B46" s="12" t="s">
        <v>2493</v>
      </c>
      <c r="C46" s="12" t="s">
        <v>1987</v>
      </c>
      <c r="D46" s="12" t="s">
        <v>1212</v>
      </c>
      <c r="E46" s="17" t="n">
        <v>46340</v>
      </c>
      <c r="F46" s="17" t="n">
        <v>46337</v>
      </c>
      <c r="G46" s="15" t="n">
        <v>2200</v>
      </c>
      <c r="H46" s="15" t="n">
        <v>14000</v>
      </c>
      <c r="I46" s="15" t="n">
        <v>10500</v>
      </c>
      <c r="J46" s="15" t="n">
        <f aca="false">MAX(0,H46-I46)</f>
        <v>3500</v>
      </c>
      <c r="K46" s="12" t="str">
        <f aca="false">IF(E46&lt;README!$C$4,"Past",IF(I46&gt;=H46,"FULL",IF(F46&lt;README!$C$4,"Closed","Open")))</f>
        <v>Open</v>
      </c>
      <c r="L46" s="15" t="n">
        <v>60</v>
      </c>
      <c r="M46" s="15" t="n">
        <f aca="false">I46*L46</f>
        <v>630000</v>
      </c>
      <c r="N46" s="15" t="n">
        <f aca="false">I46*G46</f>
        <v>23100000</v>
      </c>
      <c r="O46" s="12"/>
    </row>
    <row r="47" customFormat="false" ht="15" hidden="false" customHeight="false" outlineLevel="0" collapsed="false">
      <c r="A47" s="12" t="s">
        <v>3733</v>
      </c>
      <c r="B47" s="12" t="s">
        <v>2496</v>
      </c>
      <c r="C47" s="12" t="s">
        <v>1991</v>
      </c>
      <c r="D47" s="12" t="s">
        <v>1215</v>
      </c>
      <c r="E47" s="17" t="n">
        <v>46341</v>
      </c>
      <c r="F47" s="17" t="n">
        <v>46338</v>
      </c>
      <c r="G47" s="15" t="n">
        <v>2050</v>
      </c>
      <c r="H47" s="15" t="n">
        <v>11000</v>
      </c>
      <c r="I47" s="15" t="n">
        <v>7150</v>
      </c>
      <c r="J47" s="15" t="n">
        <f aca="false">MAX(0,H47-I47)</f>
        <v>3850</v>
      </c>
      <c r="K47" s="12" t="str">
        <f aca="false">IF(E47&lt;README!$C$4,"Past",IF(I47&gt;=H47,"FULL",IF(F47&lt;README!$C$4,"Closed","Open")))</f>
        <v>Open</v>
      </c>
      <c r="L47" s="15" t="n">
        <v>60</v>
      </c>
      <c r="M47" s="15" t="n">
        <f aca="false">I47*L47</f>
        <v>429000</v>
      </c>
      <c r="N47" s="15" t="n">
        <f aca="false">I47*G47</f>
        <v>14657500</v>
      </c>
      <c r="O47" s="12"/>
    </row>
    <row r="48" customFormat="false" ht="15" hidden="false" customHeight="false" outlineLevel="0" collapsed="false">
      <c r="A48" s="12" t="s">
        <v>3734</v>
      </c>
      <c r="B48" s="12" t="s">
        <v>2484</v>
      </c>
      <c r="C48" s="12" t="s">
        <v>1975</v>
      </c>
      <c r="D48" s="12" t="s">
        <v>1203</v>
      </c>
      <c r="E48" s="17" t="n">
        <v>46341</v>
      </c>
      <c r="F48" s="17" t="n">
        <v>46338</v>
      </c>
      <c r="G48" s="15" t="n">
        <v>2000</v>
      </c>
      <c r="H48" s="15" t="n">
        <v>18500</v>
      </c>
      <c r="I48" s="15" t="n">
        <v>12350</v>
      </c>
      <c r="J48" s="15" t="n">
        <f aca="false">MAX(0,H48-I48)</f>
        <v>6150</v>
      </c>
      <c r="K48" s="12" t="str">
        <f aca="false">IF(E48&lt;README!$C$4,"Past",IF(I48&gt;=H48,"FULL",IF(F48&lt;README!$C$4,"Closed","Open")))</f>
        <v>Open</v>
      </c>
      <c r="L48" s="15" t="n">
        <v>60</v>
      </c>
      <c r="M48" s="15" t="n">
        <f aca="false">I48*L48</f>
        <v>741000</v>
      </c>
      <c r="N48" s="15" t="n">
        <f aca="false">I48*G48</f>
        <v>24700000</v>
      </c>
      <c r="O48" s="12"/>
    </row>
    <row r="49" customFormat="false" ht="15" hidden="false" customHeight="false" outlineLevel="0" collapsed="false">
      <c r="A49" s="12" t="s">
        <v>3735</v>
      </c>
      <c r="B49" s="12" t="s">
        <v>2505</v>
      </c>
      <c r="C49" s="12" t="s">
        <v>2003</v>
      </c>
      <c r="D49" s="12" t="s">
        <v>1221</v>
      </c>
      <c r="E49" s="17" t="n">
        <v>46341</v>
      </c>
      <c r="F49" s="17" t="n">
        <v>46338</v>
      </c>
      <c r="G49" s="15" t="n">
        <v>3000</v>
      </c>
      <c r="H49" s="15" t="n">
        <v>5000</v>
      </c>
      <c r="I49" s="15" t="n">
        <v>4300</v>
      </c>
      <c r="J49" s="15" t="n">
        <f aca="false">MAX(0,H49-I49)</f>
        <v>700</v>
      </c>
      <c r="K49" s="12" t="str">
        <f aca="false">IF(E49&lt;README!$C$4,"Past",IF(I49&gt;=H49,"FULL",IF(F49&lt;README!$C$4,"Closed","Open")))</f>
        <v>Open</v>
      </c>
      <c r="L49" s="15" t="n">
        <v>60</v>
      </c>
      <c r="M49" s="15" t="n">
        <f aca="false">I49*L49</f>
        <v>258000</v>
      </c>
      <c r="N49" s="15" t="n">
        <f aca="false">I49*G49</f>
        <v>12900000</v>
      </c>
      <c r="O49" s="12"/>
    </row>
    <row r="50" customFormat="false" ht="15" hidden="false" customHeight="false" outlineLevel="0" collapsed="false">
      <c r="A50" s="12" t="s">
        <v>3736</v>
      </c>
      <c r="B50" s="12" t="s">
        <v>2487</v>
      </c>
      <c r="C50" s="12" t="s">
        <v>1979</v>
      </c>
      <c r="D50" s="12" t="s">
        <v>1206</v>
      </c>
      <c r="E50" s="17" t="n">
        <v>46342</v>
      </c>
      <c r="F50" s="17" t="n">
        <v>46339</v>
      </c>
      <c r="G50" s="15" t="n">
        <v>1950</v>
      </c>
      <c r="H50" s="15" t="n">
        <v>17500</v>
      </c>
      <c r="I50" s="15" t="n">
        <v>6300</v>
      </c>
      <c r="J50" s="15" t="n">
        <f aca="false">MAX(0,H50-I50)</f>
        <v>11200</v>
      </c>
      <c r="K50" s="12" t="str">
        <f aca="false">IF(E50&lt;README!$C$4,"Past",IF(I50&gt;=H50,"FULL",IF(F50&lt;README!$C$4,"Closed","Open")))</f>
        <v>Open</v>
      </c>
      <c r="L50" s="15" t="n">
        <v>60</v>
      </c>
      <c r="M50" s="15" t="n">
        <f aca="false">I50*L50</f>
        <v>378000</v>
      </c>
      <c r="N50" s="15" t="n">
        <f aca="false">I50*G50</f>
        <v>12285000</v>
      </c>
      <c r="O50" s="12"/>
    </row>
    <row r="51" customFormat="false" ht="15" hidden="false" customHeight="false" outlineLevel="0" collapsed="false">
      <c r="A51" s="12" t="s">
        <v>3737</v>
      </c>
      <c r="B51" s="12" t="s">
        <v>2480</v>
      </c>
      <c r="C51" s="12" t="s">
        <v>1968</v>
      </c>
      <c r="D51" s="12" t="s">
        <v>1198</v>
      </c>
      <c r="E51" s="17" t="n">
        <v>46342</v>
      </c>
      <c r="F51" s="17" t="n">
        <v>46339</v>
      </c>
      <c r="G51" s="15" t="n">
        <v>2100</v>
      </c>
      <c r="H51" s="15" t="n">
        <v>7500</v>
      </c>
      <c r="I51" s="15" t="n">
        <v>2850</v>
      </c>
      <c r="J51" s="15" t="n">
        <f aca="false">MAX(0,H51-I51)</f>
        <v>4650</v>
      </c>
      <c r="K51" s="12" t="str">
        <f aca="false">IF(E51&lt;README!$C$4,"Past",IF(I51&gt;=H51,"FULL",IF(F51&lt;README!$C$4,"Closed","Open")))</f>
        <v>Open</v>
      </c>
      <c r="L51" s="15" t="n">
        <v>60</v>
      </c>
      <c r="M51" s="15" t="n">
        <f aca="false">I51*L51</f>
        <v>171000</v>
      </c>
      <c r="N51" s="15" t="n">
        <f aca="false">I51*G51</f>
        <v>5985000</v>
      </c>
      <c r="O51" s="12"/>
    </row>
    <row r="52" customFormat="false" ht="15" hidden="false" customHeight="false" outlineLevel="0" collapsed="false">
      <c r="A52" s="12" t="s">
        <v>3738</v>
      </c>
      <c r="B52" s="12" t="s">
        <v>2508</v>
      </c>
      <c r="C52" s="12" t="s">
        <v>2008</v>
      </c>
      <c r="D52" s="12" t="s">
        <v>1224</v>
      </c>
      <c r="E52" s="17" t="n">
        <v>46342</v>
      </c>
      <c r="F52" s="17" t="n">
        <v>46339</v>
      </c>
      <c r="G52" s="15" t="n">
        <v>2050</v>
      </c>
      <c r="H52" s="15" t="n">
        <v>8000</v>
      </c>
      <c r="I52" s="15" t="n">
        <v>2550</v>
      </c>
      <c r="J52" s="15" t="n">
        <f aca="false">MAX(0,H52-I52)</f>
        <v>5450</v>
      </c>
      <c r="K52" s="12" t="str">
        <f aca="false">IF(E52&lt;README!$C$4,"Past",IF(I52&gt;=H52,"FULL",IF(F52&lt;README!$C$4,"Closed","Open")))</f>
        <v>Open</v>
      </c>
      <c r="L52" s="15" t="n">
        <v>60</v>
      </c>
      <c r="M52" s="15" t="n">
        <f aca="false">I52*L52</f>
        <v>153000</v>
      </c>
      <c r="N52" s="15" t="n">
        <f aca="false">I52*G52</f>
        <v>5227500</v>
      </c>
      <c r="O52" s="12"/>
    </row>
    <row r="53" customFormat="false" ht="15" hidden="false" customHeight="false" outlineLevel="0" collapsed="false">
      <c r="A53" s="12" t="s">
        <v>3739</v>
      </c>
      <c r="B53" s="12" t="s">
        <v>2526</v>
      </c>
      <c r="C53" s="12" t="s">
        <v>2033</v>
      </c>
      <c r="D53" s="12" t="s">
        <v>1230</v>
      </c>
      <c r="E53" s="17" t="n">
        <v>46342</v>
      </c>
      <c r="F53" s="17" t="n">
        <v>46339</v>
      </c>
      <c r="G53" s="15" t="n">
        <v>3150</v>
      </c>
      <c r="H53" s="15" t="n">
        <v>9000</v>
      </c>
      <c r="I53" s="15" t="n">
        <v>4450</v>
      </c>
      <c r="J53" s="15" t="n">
        <f aca="false">MAX(0,H53-I53)</f>
        <v>4550</v>
      </c>
      <c r="K53" s="12" t="str">
        <f aca="false">IF(E53&lt;README!$C$4,"Past",IF(I53&gt;=H53,"FULL",IF(F53&lt;README!$C$4,"Closed","Open")))</f>
        <v>Open</v>
      </c>
      <c r="L53" s="15" t="n">
        <v>60</v>
      </c>
      <c r="M53" s="15" t="n">
        <f aca="false">I53*L53</f>
        <v>267000</v>
      </c>
      <c r="N53" s="15" t="n">
        <f aca="false">I53*G53</f>
        <v>14017500</v>
      </c>
      <c r="O53" s="12"/>
    </row>
    <row r="54" customFormat="false" ht="15" hidden="false" customHeight="false" outlineLevel="0" collapsed="false">
      <c r="A54" s="12" t="s">
        <v>3740</v>
      </c>
      <c r="B54" s="12" t="s">
        <v>2529</v>
      </c>
      <c r="C54" s="12" t="s">
        <v>2037</v>
      </c>
      <c r="D54" s="12" t="s">
        <v>1230</v>
      </c>
      <c r="E54" s="17" t="n">
        <v>46342</v>
      </c>
      <c r="F54" s="17" t="n">
        <v>46339</v>
      </c>
      <c r="G54" s="15" t="n">
        <v>2250</v>
      </c>
      <c r="H54" s="15" t="n">
        <v>6000</v>
      </c>
      <c r="I54" s="15" t="n">
        <v>3400</v>
      </c>
      <c r="J54" s="15" t="n">
        <f aca="false">MAX(0,H54-I54)</f>
        <v>2600</v>
      </c>
      <c r="K54" s="12" t="str">
        <f aca="false">IF(E54&lt;README!$C$4,"Past",IF(I54&gt;=H54,"FULL",IF(F54&lt;README!$C$4,"Closed","Open")))</f>
        <v>Open</v>
      </c>
      <c r="L54" s="15" t="n">
        <v>60</v>
      </c>
      <c r="M54" s="15" t="n">
        <f aca="false">I54*L54</f>
        <v>204000</v>
      </c>
      <c r="N54" s="15" t="n">
        <f aca="false">I54*G54</f>
        <v>7650000</v>
      </c>
      <c r="O54" s="12"/>
    </row>
    <row r="55" customFormat="false" ht="15" hidden="false" customHeight="false" outlineLevel="0" collapsed="false">
      <c r="A55" s="12" t="s">
        <v>3741</v>
      </c>
      <c r="B55" s="12" t="s">
        <v>2499</v>
      </c>
      <c r="C55" s="12" t="s">
        <v>1995</v>
      </c>
      <c r="D55" s="12" t="s">
        <v>1218</v>
      </c>
      <c r="E55" s="17" t="n">
        <v>46344</v>
      </c>
      <c r="F55" s="17" t="n">
        <v>46341</v>
      </c>
      <c r="G55" s="15" t="n">
        <v>2050</v>
      </c>
      <c r="H55" s="15" t="n">
        <v>12500</v>
      </c>
      <c r="I55" s="15" t="n">
        <v>4700</v>
      </c>
      <c r="J55" s="15" t="n">
        <f aca="false">MAX(0,H55-I55)</f>
        <v>7800</v>
      </c>
      <c r="K55" s="12" t="str">
        <f aca="false">IF(E55&lt;README!$C$4,"Past",IF(I55&gt;=H55,"FULL",IF(F55&lt;README!$C$4,"Closed","Open")))</f>
        <v>Open</v>
      </c>
      <c r="L55" s="15" t="n">
        <v>60</v>
      </c>
      <c r="M55" s="15" t="n">
        <f aca="false">I55*L55</f>
        <v>282000</v>
      </c>
      <c r="N55" s="15" t="n">
        <f aca="false">I55*G55</f>
        <v>9635000</v>
      </c>
      <c r="O55" s="12"/>
    </row>
    <row r="56" customFormat="false" ht="15" hidden="false" customHeight="false" outlineLevel="0" collapsed="false">
      <c r="A56" s="12" t="s">
        <v>3742</v>
      </c>
      <c r="B56" s="12" t="s">
        <v>2523</v>
      </c>
      <c r="C56" s="12" t="s">
        <v>2029</v>
      </c>
      <c r="D56" s="12" t="s">
        <v>1230</v>
      </c>
      <c r="E56" s="17" t="n">
        <v>46344</v>
      </c>
      <c r="F56" s="17" t="n">
        <v>46341</v>
      </c>
      <c r="G56" s="15" t="n">
        <v>2300</v>
      </c>
      <c r="H56" s="15" t="n">
        <v>11500</v>
      </c>
      <c r="I56" s="15" t="n">
        <v>3750</v>
      </c>
      <c r="J56" s="15" t="n">
        <f aca="false">MAX(0,H56-I56)</f>
        <v>7750</v>
      </c>
      <c r="K56" s="12" t="str">
        <f aca="false">IF(E56&lt;README!$C$4,"Past",IF(I56&gt;=H56,"FULL",IF(F56&lt;README!$C$4,"Closed","Open")))</f>
        <v>Open</v>
      </c>
      <c r="L56" s="15" t="n">
        <v>60</v>
      </c>
      <c r="M56" s="15" t="n">
        <f aca="false">I56*L56</f>
        <v>225000</v>
      </c>
      <c r="N56" s="15" t="n">
        <f aca="false">I56*G56</f>
        <v>8625000</v>
      </c>
      <c r="O56" s="12"/>
    </row>
    <row r="57" customFormat="false" ht="15" hidden="false" customHeight="false" outlineLevel="0" collapsed="false">
      <c r="A57" s="12" t="s">
        <v>3743</v>
      </c>
      <c r="B57" s="12" t="s">
        <v>2514</v>
      </c>
      <c r="C57" s="12" t="s">
        <v>2016</v>
      </c>
      <c r="D57" s="12" t="s">
        <v>1227</v>
      </c>
      <c r="E57" s="17" t="n">
        <v>46345</v>
      </c>
      <c r="F57" s="17" t="n">
        <v>46342</v>
      </c>
      <c r="G57" s="15" t="n">
        <v>2250</v>
      </c>
      <c r="H57" s="15" t="n">
        <v>16500</v>
      </c>
      <c r="I57" s="15" t="n">
        <v>14700</v>
      </c>
      <c r="J57" s="15" t="n">
        <f aca="false">MAX(0,H57-I57)</f>
        <v>1800</v>
      </c>
      <c r="K57" s="12" t="str">
        <f aca="false">IF(E57&lt;README!$C$4,"Past",IF(I57&gt;=H57,"FULL",IF(F57&lt;README!$C$4,"Closed","Open")))</f>
        <v>Open</v>
      </c>
      <c r="L57" s="15" t="n">
        <v>60</v>
      </c>
      <c r="M57" s="15" t="n">
        <f aca="false">I57*L57</f>
        <v>882000</v>
      </c>
      <c r="N57" s="15" t="n">
        <f aca="false">I57*G57</f>
        <v>33075000</v>
      </c>
      <c r="O57" s="12"/>
    </row>
    <row r="58" customFormat="false" ht="15" hidden="false" customHeight="false" outlineLevel="0" collapsed="false">
      <c r="A58" s="12" t="s">
        <v>3744</v>
      </c>
      <c r="B58" s="12" t="s">
        <v>2520</v>
      </c>
      <c r="C58" s="12" t="s">
        <v>2024</v>
      </c>
      <c r="D58" s="12" t="s">
        <v>1227</v>
      </c>
      <c r="E58" s="17" t="n">
        <v>46345</v>
      </c>
      <c r="F58" s="17" t="n">
        <v>46342</v>
      </c>
      <c r="G58" s="15" t="n">
        <v>2150</v>
      </c>
      <c r="H58" s="15" t="n">
        <v>2000</v>
      </c>
      <c r="I58" s="15" t="n">
        <v>500</v>
      </c>
      <c r="J58" s="15" t="n">
        <f aca="false">MAX(0,H58-I58)</f>
        <v>1500</v>
      </c>
      <c r="K58" s="12" t="str">
        <f aca="false">IF(E58&lt;README!$C$4,"Past",IF(I58&gt;=H58,"FULL",IF(F58&lt;README!$C$4,"Closed","Open")))</f>
        <v>Open</v>
      </c>
      <c r="L58" s="15" t="n">
        <v>60</v>
      </c>
      <c r="M58" s="15" t="n">
        <f aca="false">I58*L58</f>
        <v>30000</v>
      </c>
      <c r="N58" s="15" t="n">
        <f aca="false">I58*G58</f>
        <v>1075000</v>
      </c>
      <c r="O58" s="12"/>
    </row>
    <row r="59" customFormat="false" ht="15" hidden="false" customHeight="false" outlineLevel="0" collapsed="false">
      <c r="A59" s="12" t="s">
        <v>3745</v>
      </c>
      <c r="B59" s="12" t="s">
        <v>2490</v>
      </c>
      <c r="C59" s="12" t="s">
        <v>1983</v>
      </c>
      <c r="D59" s="12" t="s">
        <v>1209</v>
      </c>
      <c r="E59" s="17" t="n">
        <v>46345</v>
      </c>
      <c r="F59" s="17" t="n">
        <v>46342</v>
      </c>
      <c r="G59" s="15" t="n">
        <v>2200</v>
      </c>
      <c r="H59" s="15" t="n">
        <v>5000</v>
      </c>
      <c r="I59" s="15" t="n">
        <v>1400</v>
      </c>
      <c r="J59" s="15" t="n">
        <f aca="false">MAX(0,H59-I59)</f>
        <v>3600</v>
      </c>
      <c r="K59" s="12" t="str">
        <f aca="false">IF(E59&lt;README!$C$4,"Past",IF(I59&gt;=H59,"FULL",IF(F59&lt;README!$C$4,"Closed","Open")))</f>
        <v>Open</v>
      </c>
      <c r="L59" s="15" t="n">
        <v>60</v>
      </c>
      <c r="M59" s="15" t="n">
        <f aca="false">I59*L59</f>
        <v>84000</v>
      </c>
      <c r="N59" s="15" t="n">
        <f aca="false">I59*G59</f>
        <v>3080000</v>
      </c>
      <c r="O59" s="12"/>
    </row>
    <row r="60" customFormat="false" ht="15" hidden="false" customHeight="false" outlineLevel="0" collapsed="false">
      <c r="A60" s="12" t="s">
        <v>3746</v>
      </c>
      <c r="B60" s="12" t="s">
        <v>2502</v>
      </c>
      <c r="C60" s="12" t="s">
        <v>1999</v>
      </c>
      <c r="D60" s="12" t="s">
        <v>1221</v>
      </c>
      <c r="E60" s="17" t="n">
        <v>46345</v>
      </c>
      <c r="F60" s="17" t="n">
        <v>46342</v>
      </c>
      <c r="G60" s="15" t="n">
        <v>2150</v>
      </c>
      <c r="H60" s="15" t="n">
        <v>6000</v>
      </c>
      <c r="I60" s="15" t="n">
        <v>950</v>
      </c>
      <c r="J60" s="15" t="n">
        <f aca="false">MAX(0,H60-I60)</f>
        <v>5050</v>
      </c>
      <c r="K60" s="12" t="str">
        <f aca="false">IF(E60&lt;README!$C$4,"Past",IF(I60&gt;=H60,"FULL",IF(F60&lt;README!$C$4,"Closed","Open")))</f>
        <v>Open</v>
      </c>
      <c r="L60" s="15" t="n">
        <v>60</v>
      </c>
      <c r="M60" s="15" t="n">
        <f aca="false">I60*L60</f>
        <v>57000</v>
      </c>
      <c r="N60" s="15" t="n">
        <f aca="false">I60*G60</f>
        <v>2042500</v>
      </c>
      <c r="O60" s="12"/>
    </row>
    <row r="61" customFormat="false" ht="15" hidden="false" customHeight="false" outlineLevel="0" collapsed="false">
      <c r="A61" s="12" t="s">
        <v>3747</v>
      </c>
      <c r="B61" s="12" t="s">
        <v>2517</v>
      </c>
      <c r="C61" s="12" t="s">
        <v>2020</v>
      </c>
      <c r="D61" s="12" t="s">
        <v>1227</v>
      </c>
      <c r="E61" s="17" t="n">
        <v>46347</v>
      </c>
      <c r="F61" s="17" t="n">
        <v>46344</v>
      </c>
      <c r="G61" s="15" t="n">
        <v>3150</v>
      </c>
      <c r="H61" s="15" t="n">
        <v>5500</v>
      </c>
      <c r="I61" s="15" t="n">
        <v>850</v>
      </c>
      <c r="J61" s="15" t="n">
        <f aca="false">MAX(0,H61-I61)</f>
        <v>4650</v>
      </c>
      <c r="K61" s="12" t="str">
        <f aca="false">IF(E61&lt;README!$C$4,"Past",IF(I61&gt;=H61,"FULL",IF(F61&lt;README!$C$4,"Closed","Open")))</f>
        <v>Open</v>
      </c>
      <c r="L61" s="15" t="n">
        <v>60</v>
      </c>
      <c r="M61" s="15" t="n">
        <f aca="false">I61*L61</f>
        <v>51000</v>
      </c>
      <c r="N61" s="15" t="n">
        <f aca="false">I61*G61</f>
        <v>2677500</v>
      </c>
      <c r="O61" s="12"/>
    </row>
    <row r="62" customFormat="false" ht="15" hidden="false" customHeight="false" outlineLevel="0" collapsed="false">
      <c r="A62" s="12" t="s">
        <v>3748</v>
      </c>
      <c r="B62" s="12" t="s">
        <v>2511</v>
      </c>
      <c r="C62" s="12" t="s">
        <v>2012</v>
      </c>
      <c r="D62" s="12" t="s">
        <v>1224</v>
      </c>
      <c r="E62" s="17" t="n">
        <v>46347</v>
      </c>
      <c r="F62" s="17" t="n">
        <v>46344</v>
      </c>
      <c r="G62" s="15" t="n">
        <v>3000</v>
      </c>
      <c r="H62" s="15" t="n">
        <v>6000</v>
      </c>
      <c r="I62" s="15" t="n">
        <v>4800</v>
      </c>
      <c r="J62" s="15" t="n">
        <f aca="false">MAX(0,H62-I62)</f>
        <v>1200</v>
      </c>
      <c r="K62" s="12" t="str">
        <f aca="false">IF(E62&lt;README!$C$4,"Past",IF(I62&gt;=H62,"FULL",IF(F62&lt;README!$C$4,"Closed","Open")))</f>
        <v>Open</v>
      </c>
      <c r="L62" s="15" t="n">
        <v>60</v>
      </c>
      <c r="M62" s="15" t="n">
        <f aca="false">I62*L62</f>
        <v>288000</v>
      </c>
      <c r="N62" s="15" t="n">
        <f aca="false">I62*G62</f>
        <v>14400000</v>
      </c>
      <c r="O62" s="19" t="s">
        <v>3749</v>
      </c>
    </row>
    <row r="63" customFormat="false" ht="15" hidden="false" customHeight="false" outlineLevel="0" collapsed="false">
      <c r="A63" s="12" t="s">
        <v>3750</v>
      </c>
      <c r="B63" s="12" t="s">
        <v>2493</v>
      </c>
      <c r="C63" s="12" t="s">
        <v>1987</v>
      </c>
      <c r="D63" s="12" t="s">
        <v>1212</v>
      </c>
      <c r="E63" s="17" t="n">
        <v>46347</v>
      </c>
      <c r="F63" s="17" t="n">
        <v>46344</v>
      </c>
      <c r="G63" s="15" t="n">
        <v>2250</v>
      </c>
      <c r="H63" s="15" t="n">
        <v>19500</v>
      </c>
      <c r="I63" s="15" t="n">
        <v>2650</v>
      </c>
      <c r="J63" s="15" t="n">
        <f aca="false">MAX(0,H63-I63)</f>
        <v>16850</v>
      </c>
      <c r="K63" s="12" t="str">
        <f aca="false">IF(E63&lt;README!$C$4,"Past",IF(I63&gt;=H63,"FULL",IF(F63&lt;README!$C$4,"Closed","Open")))</f>
        <v>Open</v>
      </c>
      <c r="L63" s="15" t="n">
        <v>60</v>
      </c>
      <c r="M63" s="15" t="n">
        <f aca="false">I63*L63</f>
        <v>159000</v>
      </c>
      <c r="N63" s="15" t="n">
        <f aca="false">I63*G63</f>
        <v>5962500</v>
      </c>
      <c r="O63" s="12"/>
    </row>
    <row r="64" customFormat="false" ht="15" hidden="false" customHeight="false" outlineLevel="0" collapsed="false">
      <c r="A64" s="12" t="s">
        <v>3751</v>
      </c>
      <c r="B64" s="12" t="s">
        <v>2496</v>
      </c>
      <c r="C64" s="12" t="s">
        <v>1991</v>
      </c>
      <c r="D64" s="12" t="s">
        <v>1215</v>
      </c>
      <c r="E64" s="17" t="n">
        <v>46348</v>
      </c>
      <c r="F64" s="17" t="n">
        <v>46345</v>
      </c>
      <c r="G64" s="15" t="n">
        <v>2100</v>
      </c>
      <c r="H64" s="15" t="n">
        <v>8500</v>
      </c>
      <c r="I64" s="15" t="n">
        <v>1100</v>
      </c>
      <c r="J64" s="15" t="n">
        <f aca="false">MAX(0,H64-I64)</f>
        <v>7400</v>
      </c>
      <c r="K64" s="12" t="str">
        <f aca="false">IF(E64&lt;README!$C$4,"Past",IF(I64&gt;=H64,"FULL",IF(F64&lt;README!$C$4,"Closed","Open")))</f>
        <v>Open</v>
      </c>
      <c r="L64" s="15" t="n">
        <v>60</v>
      </c>
      <c r="M64" s="15" t="n">
        <f aca="false">I64*L64</f>
        <v>66000</v>
      </c>
      <c r="N64" s="15" t="n">
        <f aca="false">I64*G64</f>
        <v>2310000</v>
      </c>
      <c r="O64" s="12"/>
    </row>
    <row r="65" customFormat="false" ht="15" hidden="false" customHeight="false" outlineLevel="0" collapsed="false">
      <c r="A65" s="12" t="s">
        <v>3752</v>
      </c>
      <c r="B65" s="12" t="s">
        <v>2484</v>
      </c>
      <c r="C65" s="12" t="s">
        <v>1975</v>
      </c>
      <c r="D65" s="12" t="s">
        <v>1203</v>
      </c>
      <c r="E65" s="17" t="n">
        <v>46348</v>
      </c>
      <c r="F65" s="17" t="n">
        <v>46345</v>
      </c>
      <c r="G65" s="15" t="n">
        <v>2050</v>
      </c>
      <c r="H65" s="15" t="n">
        <v>9000</v>
      </c>
      <c r="I65" s="15" t="n">
        <v>6350</v>
      </c>
      <c r="J65" s="15" t="n">
        <f aca="false">MAX(0,H65-I65)</f>
        <v>2650</v>
      </c>
      <c r="K65" s="12" t="str">
        <f aca="false">IF(E65&lt;README!$C$4,"Past",IF(I65&gt;=H65,"FULL",IF(F65&lt;README!$C$4,"Closed","Open")))</f>
        <v>Open</v>
      </c>
      <c r="L65" s="15" t="n">
        <v>60</v>
      </c>
      <c r="M65" s="15" t="n">
        <f aca="false">I65*L65</f>
        <v>381000</v>
      </c>
      <c r="N65" s="15" t="n">
        <f aca="false">I65*G65</f>
        <v>13017500</v>
      </c>
      <c r="O65" s="12"/>
    </row>
    <row r="66" customFormat="false" ht="15" hidden="false" customHeight="false" outlineLevel="0" collapsed="false">
      <c r="A66" s="12" t="s">
        <v>3753</v>
      </c>
      <c r="B66" s="12" t="s">
        <v>2505</v>
      </c>
      <c r="C66" s="12" t="s">
        <v>2003</v>
      </c>
      <c r="D66" s="12" t="s">
        <v>1221</v>
      </c>
      <c r="E66" s="17" t="n">
        <v>46348</v>
      </c>
      <c r="F66" s="17" t="n">
        <v>46345</v>
      </c>
      <c r="G66" s="15" t="n">
        <v>3050</v>
      </c>
      <c r="H66" s="15" t="n">
        <v>8000</v>
      </c>
      <c r="I66" s="15" t="n">
        <v>2350</v>
      </c>
      <c r="J66" s="15" t="n">
        <f aca="false">MAX(0,H66-I66)</f>
        <v>5650</v>
      </c>
      <c r="K66" s="12" t="str">
        <f aca="false">IF(E66&lt;README!$C$4,"Past",IF(I66&gt;=H66,"FULL",IF(F66&lt;README!$C$4,"Closed","Open")))</f>
        <v>Open</v>
      </c>
      <c r="L66" s="15" t="n">
        <v>60</v>
      </c>
      <c r="M66" s="15" t="n">
        <f aca="false">I66*L66</f>
        <v>141000</v>
      </c>
      <c r="N66" s="15" t="n">
        <f aca="false">I66*G66</f>
        <v>7167500</v>
      </c>
      <c r="O66" s="12"/>
    </row>
    <row r="67" customFormat="false" ht="15" hidden="false" customHeight="false" outlineLevel="0" collapsed="false">
      <c r="A67" s="12" t="s">
        <v>3754</v>
      </c>
      <c r="B67" s="12" t="s">
        <v>2487</v>
      </c>
      <c r="C67" s="12" t="s">
        <v>1979</v>
      </c>
      <c r="D67" s="12" t="s">
        <v>1206</v>
      </c>
      <c r="E67" s="17" t="n">
        <v>46349</v>
      </c>
      <c r="F67" s="17" t="n">
        <v>46346</v>
      </c>
      <c r="G67" s="15" t="n">
        <v>2000</v>
      </c>
      <c r="H67" s="15" t="n">
        <v>19000</v>
      </c>
      <c r="I67" s="15" t="n">
        <v>16150</v>
      </c>
      <c r="J67" s="15" t="n">
        <f aca="false">MAX(0,H67-I67)</f>
        <v>2850</v>
      </c>
      <c r="K67" s="12" t="str">
        <f aca="false">IF(E67&lt;README!$C$4,"Past",IF(I67&gt;=H67,"FULL",IF(F67&lt;README!$C$4,"Closed","Open")))</f>
        <v>Open</v>
      </c>
      <c r="L67" s="15" t="n">
        <v>60</v>
      </c>
      <c r="M67" s="15" t="n">
        <f aca="false">I67*L67</f>
        <v>969000</v>
      </c>
      <c r="N67" s="15" t="n">
        <f aca="false">I67*G67</f>
        <v>32300000</v>
      </c>
      <c r="O67" s="12"/>
    </row>
    <row r="68" customFormat="false" ht="15" hidden="false" customHeight="false" outlineLevel="0" collapsed="false">
      <c r="A68" s="12" t="s">
        <v>3755</v>
      </c>
      <c r="B68" s="12" t="s">
        <v>2480</v>
      </c>
      <c r="C68" s="12" t="s">
        <v>1968</v>
      </c>
      <c r="D68" s="12" t="s">
        <v>1198</v>
      </c>
      <c r="E68" s="17" t="n">
        <v>46349</v>
      </c>
      <c r="F68" s="17" t="n">
        <v>46346</v>
      </c>
      <c r="G68" s="15" t="n">
        <v>2150</v>
      </c>
      <c r="H68" s="15" t="n">
        <v>15500</v>
      </c>
      <c r="I68" s="15" t="n">
        <v>9500</v>
      </c>
      <c r="J68" s="15" t="n">
        <f aca="false">MAX(0,H68-I68)</f>
        <v>6000</v>
      </c>
      <c r="K68" s="12" t="str">
        <f aca="false">IF(E68&lt;README!$C$4,"Past",IF(I68&gt;=H68,"FULL",IF(F68&lt;README!$C$4,"Closed","Open")))</f>
        <v>Open</v>
      </c>
      <c r="L68" s="15" t="n">
        <v>60</v>
      </c>
      <c r="M68" s="15" t="n">
        <f aca="false">I68*L68</f>
        <v>570000</v>
      </c>
      <c r="N68" s="15" t="n">
        <f aca="false">I68*G68</f>
        <v>20425000</v>
      </c>
      <c r="O68" s="12"/>
    </row>
    <row r="69" customFormat="false" ht="15" hidden="false" customHeight="false" outlineLevel="0" collapsed="false">
      <c r="A69" s="12" t="s">
        <v>3756</v>
      </c>
      <c r="B69" s="12" t="s">
        <v>2508</v>
      </c>
      <c r="C69" s="12" t="s">
        <v>2008</v>
      </c>
      <c r="D69" s="12" t="s">
        <v>1224</v>
      </c>
      <c r="E69" s="17" t="n">
        <v>46349</v>
      </c>
      <c r="F69" s="17" t="n">
        <v>46346</v>
      </c>
      <c r="G69" s="15" t="n">
        <v>2100</v>
      </c>
      <c r="H69" s="15" t="n">
        <v>10000</v>
      </c>
      <c r="I69" s="15" t="n">
        <v>1700</v>
      </c>
      <c r="J69" s="15" t="n">
        <f aca="false">MAX(0,H69-I69)</f>
        <v>8300</v>
      </c>
      <c r="K69" s="12" t="str">
        <f aca="false">IF(E69&lt;README!$C$4,"Past",IF(I69&gt;=H69,"FULL",IF(F69&lt;README!$C$4,"Closed","Open")))</f>
        <v>Open</v>
      </c>
      <c r="L69" s="15" t="n">
        <v>60</v>
      </c>
      <c r="M69" s="15" t="n">
        <f aca="false">I69*L69</f>
        <v>102000</v>
      </c>
      <c r="N69" s="15" t="n">
        <f aca="false">I69*G69</f>
        <v>3570000</v>
      </c>
      <c r="O69" s="12"/>
    </row>
    <row r="70" customFormat="false" ht="15" hidden="false" customHeight="false" outlineLevel="0" collapsed="false">
      <c r="A70" s="12" t="s">
        <v>3757</v>
      </c>
      <c r="B70" s="12" t="s">
        <v>2526</v>
      </c>
      <c r="C70" s="12" t="s">
        <v>2033</v>
      </c>
      <c r="D70" s="12" t="s">
        <v>1230</v>
      </c>
      <c r="E70" s="17" t="n">
        <v>46349</v>
      </c>
      <c r="F70" s="17" t="n">
        <v>46346</v>
      </c>
      <c r="G70" s="15" t="n">
        <v>3200</v>
      </c>
      <c r="H70" s="15" t="n">
        <v>8000</v>
      </c>
      <c r="I70" s="15" t="n">
        <v>3700</v>
      </c>
      <c r="J70" s="15" t="n">
        <f aca="false">MAX(0,H70-I70)</f>
        <v>4300</v>
      </c>
      <c r="K70" s="12" t="str">
        <f aca="false">IF(E70&lt;README!$C$4,"Past",IF(I70&gt;=H70,"FULL",IF(F70&lt;README!$C$4,"Closed","Open")))</f>
        <v>Open</v>
      </c>
      <c r="L70" s="15" t="n">
        <v>60</v>
      </c>
      <c r="M70" s="15" t="n">
        <f aca="false">I70*L70</f>
        <v>222000</v>
      </c>
      <c r="N70" s="15" t="n">
        <f aca="false">I70*G70</f>
        <v>11840000</v>
      </c>
      <c r="O70" s="12"/>
    </row>
    <row r="71" customFormat="false" ht="15" hidden="false" customHeight="false" outlineLevel="0" collapsed="false">
      <c r="A71" s="12" t="s">
        <v>3758</v>
      </c>
      <c r="B71" s="12" t="s">
        <v>2529</v>
      </c>
      <c r="C71" s="12" t="s">
        <v>2037</v>
      </c>
      <c r="D71" s="12" t="s">
        <v>1230</v>
      </c>
      <c r="E71" s="17" t="n">
        <v>46349</v>
      </c>
      <c r="F71" s="17" t="n">
        <v>46346</v>
      </c>
      <c r="G71" s="15" t="n">
        <v>2300</v>
      </c>
      <c r="H71" s="15" t="n">
        <v>4500</v>
      </c>
      <c r="I71" s="15" t="n">
        <v>2500</v>
      </c>
      <c r="J71" s="15" t="n">
        <f aca="false">MAX(0,H71-I71)</f>
        <v>2000</v>
      </c>
      <c r="K71" s="12" t="str">
        <f aca="false">IF(E71&lt;README!$C$4,"Past",IF(I71&gt;=H71,"FULL",IF(F71&lt;README!$C$4,"Closed","Open")))</f>
        <v>Open</v>
      </c>
      <c r="L71" s="15" t="n">
        <v>60</v>
      </c>
      <c r="M71" s="15" t="n">
        <f aca="false">I71*L71</f>
        <v>150000</v>
      </c>
      <c r="N71" s="15" t="n">
        <f aca="false">I71*G71</f>
        <v>5750000</v>
      </c>
      <c r="O71" s="12"/>
    </row>
    <row r="72" customFormat="false" ht="15" hidden="false" customHeight="false" outlineLevel="0" collapsed="false">
      <c r="A72" s="12" t="s">
        <v>3759</v>
      </c>
      <c r="B72" s="12" t="s">
        <v>2499</v>
      </c>
      <c r="C72" s="12" t="s">
        <v>1995</v>
      </c>
      <c r="D72" s="12" t="s">
        <v>1218</v>
      </c>
      <c r="E72" s="17" t="n">
        <v>46351</v>
      </c>
      <c r="F72" s="17" t="n">
        <v>46348</v>
      </c>
      <c r="G72" s="15" t="n">
        <v>2050</v>
      </c>
      <c r="H72" s="15" t="n">
        <v>13500</v>
      </c>
      <c r="I72" s="15" t="n">
        <v>3900</v>
      </c>
      <c r="J72" s="15" t="n">
        <f aca="false">MAX(0,H72-I72)</f>
        <v>9600</v>
      </c>
      <c r="K72" s="12" t="str">
        <f aca="false">IF(E72&lt;README!$C$4,"Past",IF(I72&gt;=H72,"FULL",IF(F72&lt;README!$C$4,"Closed","Open")))</f>
        <v>Open</v>
      </c>
      <c r="L72" s="15" t="n">
        <v>60</v>
      </c>
      <c r="M72" s="15" t="n">
        <f aca="false">I72*L72</f>
        <v>234000</v>
      </c>
      <c r="N72" s="15" t="n">
        <f aca="false">I72*G72</f>
        <v>7995000</v>
      </c>
      <c r="O72" s="12"/>
    </row>
    <row r="73" customFormat="false" ht="15" hidden="false" customHeight="false" outlineLevel="0" collapsed="false">
      <c r="A73" s="12" t="s">
        <v>3760</v>
      </c>
      <c r="B73" s="12" t="s">
        <v>2523</v>
      </c>
      <c r="C73" s="12" t="s">
        <v>2029</v>
      </c>
      <c r="D73" s="12" t="s">
        <v>1230</v>
      </c>
      <c r="E73" s="17" t="n">
        <v>46351</v>
      </c>
      <c r="F73" s="17" t="n">
        <v>46348</v>
      </c>
      <c r="G73" s="15" t="n">
        <v>2300</v>
      </c>
      <c r="H73" s="15" t="n">
        <v>5000</v>
      </c>
      <c r="I73" s="15" t="n">
        <v>3250</v>
      </c>
      <c r="J73" s="15" t="n">
        <f aca="false">MAX(0,H73-I73)</f>
        <v>1750</v>
      </c>
      <c r="K73" s="12" t="str">
        <f aca="false">IF(E73&lt;README!$C$4,"Past",IF(I73&gt;=H73,"FULL",IF(F73&lt;README!$C$4,"Closed","Open")))</f>
        <v>Open</v>
      </c>
      <c r="L73" s="15" t="n">
        <v>60</v>
      </c>
      <c r="M73" s="15" t="n">
        <f aca="false">I73*L73</f>
        <v>195000</v>
      </c>
      <c r="N73" s="15" t="n">
        <f aca="false">I73*G73</f>
        <v>7475000</v>
      </c>
      <c r="O73" s="12"/>
    </row>
    <row r="74" customFormat="false" ht="15" hidden="false" customHeight="false" outlineLevel="0" collapsed="false">
      <c r="A74" s="12" t="s">
        <v>3761</v>
      </c>
      <c r="B74" s="12" t="s">
        <v>2514</v>
      </c>
      <c r="C74" s="12" t="s">
        <v>2016</v>
      </c>
      <c r="D74" s="12" t="s">
        <v>1227</v>
      </c>
      <c r="E74" s="17" t="n">
        <v>46352</v>
      </c>
      <c r="F74" s="17" t="n">
        <v>46349</v>
      </c>
      <c r="G74" s="15" t="n">
        <v>2250</v>
      </c>
      <c r="H74" s="15" t="n">
        <v>13500</v>
      </c>
      <c r="I74" s="15" t="n">
        <v>6050</v>
      </c>
      <c r="J74" s="15" t="n">
        <f aca="false">MAX(0,H74-I74)</f>
        <v>7450</v>
      </c>
      <c r="K74" s="12" t="str">
        <f aca="false">IF(E74&lt;README!$C$4,"Past",IF(I74&gt;=H74,"FULL",IF(F74&lt;README!$C$4,"Closed","Open")))</f>
        <v>Open</v>
      </c>
      <c r="L74" s="15" t="n">
        <v>60</v>
      </c>
      <c r="M74" s="15" t="n">
        <f aca="false">I74*L74</f>
        <v>363000</v>
      </c>
      <c r="N74" s="15" t="n">
        <f aca="false">I74*G74</f>
        <v>13612500</v>
      </c>
      <c r="O74" s="12"/>
    </row>
    <row r="75" customFormat="false" ht="15" hidden="false" customHeight="false" outlineLevel="0" collapsed="false">
      <c r="A75" s="12" t="s">
        <v>3762</v>
      </c>
      <c r="B75" s="12" t="s">
        <v>2520</v>
      </c>
      <c r="C75" s="12" t="s">
        <v>2024</v>
      </c>
      <c r="D75" s="12" t="s">
        <v>1227</v>
      </c>
      <c r="E75" s="17" t="n">
        <v>46352</v>
      </c>
      <c r="F75" s="17" t="n">
        <v>46349</v>
      </c>
      <c r="G75" s="15" t="n">
        <v>2150</v>
      </c>
      <c r="H75" s="15" t="n">
        <v>4500</v>
      </c>
      <c r="I75" s="15" t="n">
        <v>2350</v>
      </c>
      <c r="J75" s="15" t="n">
        <f aca="false">MAX(0,H75-I75)</f>
        <v>2150</v>
      </c>
      <c r="K75" s="12" t="str">
        <f aca="false">IF(E75&lt;README!$C$4,"Past",IF(I75&gt;=H75,"FULL",IF(F75&lt;README!$C$4,"Closed","Open")))</f>
        <v>Open</v>
      </c>
      <c r="L75" s="15" t="n">
        <v>60</v>
      </c>
      <c r="M75" s="15" t="n">
        <f aca="false">I75*L75</f>
        <v>141000</v>
      </c>
      <c r="N75" s="15" t="n">
        <f aca="false">I75*G75</f>
        <v>5052500</v>
      </c>
      <c r="O75" s="12"/>
    </row>
    <row r="76" customFormat="false" ht="15" hidden="false" customHeight="false" outlineLevel="0" collapsed="false">
      <c r="A76" s="12" t="s">
        <v>3763</v>
      </c>
      <c r="B76" s="12" t="s">
        <v>2490</v>
      </c>
      <c r="C76" s="12" t="s">
        <v>1983</v>
      </c>
      <c r="D76" s="12" t="s">
        <v>1209</v>
      </c>
      <c r="E76" s="17" t="n">
        <v>46352</v>
      </c>
      <c r="F76" s="17" t="n">
        <v>46349</v>
      </c>
      <c r="G76" s="15" t="n">
        <v>2200</v>
      </c>
      <c r="H76" s="15" t="n">
        <v>7500</v>
      </c>
      <c r="I76" s="15" t="n">
        <v>3200</v>
      </c>
      <c r="J76" s="15" t="n">
        <f aca="false">MAX(0,H76-I76)</f>
        <v>4300</v>
      </c>
      <c r="K76" s="12" t="str">
        <f aca="false">IF(E76&lt;README!$C$4,"Past",IF(I76&gt;=H76,"FULL",IF(F76&lt;README!$C$4,"Closed","Open")))</f>
        <v>Open</v>
      </c>
      <c r="L76" s="15" t="n">
        <v>60</v>
      </c>
      <c r="M76" s="15" t="n">
        <f aca="false">I76*L76</f>
        <v>192000</v>
      </c>
      <c r="N76" s="15" t="n">
        <f aca="false">I76*G76</f>
        <v>7040000</v>
      </c>
      <c r="O76" s="12"/>
    </row>
    <row r="77" customFormat="false" ht="15" hidden="false" customHeight="false" outlineLevel="0" collapsed="false">
      <c r="A77" s="12" t="s">
        <v>3764</v>
      </c>
      <c r="B77" s="12" t="s">
        <v>2502</v>
      </c>
      <c r="C77" s="12" t="s">
        <v>1999</v>
      </c>
      <c r="D77" s="12" t="s">
        <v>1221</v>
      </c>
      <c r="E77" s="17" t="n">
        <v>46352</v>
      </c>
      <c r="F77" s="17" t="n">
        <v>46349</v>
      </c>
      <c r="G77" s="15" t="n">
        <v>2150</v>
      </c>
      <c r="H77" s="15" t="n">
        <v>8000</v>
      </c>
      <c r="I77" s="15" t="n">
        <v>1850</v>
      </c>
      <c r="J77" s="15" t="n">
        <f aca="false">MAX(0,H77-I77)</f>
        <v>6150</v>
      </c>
      <c r="K77" s="12" t="str">
        <f aca="false">IF(E77&lt;README!$C$4,"Past",IF(I77&gt;=H77,"FULL",IF(F77&lt;README!$C$4,"Closed","Open")))</f>
        <v>Open</v>
      </c>
      <c r="L77" s="15" t="n">
        <v>60</v>
      </c>
      <c r="M77" s="15" t="n">
        <f aca="false">I77*L77</f>
        <v>111000</v>
      </c>
      <c r="N77" s="15" t="n">
        <f aca="false">I77*G77</f>
        <v>3977500</v>
      </c>
      <c r="O77" s="12"/>
    </row>
    <row r="78" customFormat="false" ht="15" hidden="false" customHeight="false" outlineLevel="0" collapsed="false">
      <c r="A78" s="12" t="s">
        <v>3765</v>
      </c>
      <c r="B78" s="12" t="s">
        <v>2517</v>
      </c>
      <c r="C78" s="12" t="s">
        <v>2020</v>
      </c>
      <c r="D78" s="12" t="s">
        <v>1227</v>
      </c>
      <c r="E78" s="17" t="n">
        <v>46354</v>
      </c>
      <c r="F78" s="17" t="n">
        <v>46351</v>
      </c>
      <c r="G78" s="15" t="n">
        <v>3150</v>
      </c>
      <c r="H78" s="15" t="n">
        <v>9000</v>
      </c>
      <c r="I78" s="15" t="n">
        <v>5450</v>
      </c>
      <c r="J78" s="15" t="n">
        <f aca="false">MAX(0,H78-I78)</f>
        <v>3550</v>
      </c>
      <c r="K78" s="12" t="str">
        <f aca="false">IF(E78&lt;README!$C$4,"Past",IF(I78&gt;=H78,"FULL",IF(F78&lt;README!$C$4,"Closed","Open")))</f>
        <v>Open</v>
      </c>
      <c r="L78" s="15" t="n">
        <v>60</v>
      </c>
      <c r="M78" s="15" t="n">
        <f aca="false">I78*L78</f>
        <v>327000</v>
      </c>
      <c r="N78" s="15" t="n">
        <f aca="false">I78*G78</f>
        <v>17167500</v>
      </c>
      <c r="O78" s="12"/>
    </row>
    <row r="79" customFormat="false" ht="15" hidden="false" customHeight="false" outlineLevel="0" collapsed="false">
      <c r="A79" s="12" t="s">
        <v>3766</v>
      </c>
      <c r="B79" s="12" t="s">
        <v>2511</v>
      </c>
      <c r="C79" s="12" t="s">
        <v>2012</v>
      </c>
      <c r="D79" s="12" t="s">
        <v>1224</v>
      </c>
      <c r="E79" s="17" t="n">
        <v>46354</v>
      </c>
      <c r="F79" s="17" t="n">
        <v>46351</v>
      </c>
      <c r="G79" s="15" t="n">
        <v>3000</v>
      </c>
      <c r="H79" s="15" t="n">
        <v>6500</v>
      </c>
      <c r="I79" s="15" t="n">
        <v>5250</v>
      </c>
      <c r="J79" s="15" t="n">
        <f aca="false">MAX(0,H79-I79)</f>
        <v>1250</v>
      </c>
      <c r="K79" s="12" t="str">
        <f aca="false">IF(E79&lt;README!$C$4,"Past",IF(I79&gt;=H79,"FULL",IF(F79&lt;README!$C$4,"Closed","Open")))</f>
        <v>Open</v>
      </c>
      <c r="L79" s="15" t="n">
        <v>60</v>
      </c>
      <c r="M79" s="15" t="n">
        <f aca="false">I79*L79</f>
        <v>315000</v>
      </c>
      <c r="N79" s="15" t="n">
        <f aca="false">I79*G79</f>
        <v>15750000</v>
      </c>
      <c r="O79" s="12"/>
    </row>
    <row r="80" customFormat="false" ht="15" hidden="false" customHeight="false" outlineLevel="0" collapsed="false">
      <c r="A80" s="12" t="s">
        <v>3767</v>
      </c>
      <c r="B80" s="12" t="s">
        <v>2493</v>
      </c>
      <c r="C80" s="12" t="s">
        <v>1987</v>
      </c>
      <c r="D80" s="12" t="s">
        <v>1212</v>
      </c>
      <c r="E80" s="17" t="n">
        <v>46354</v>
      </c>
      <c r="F80" s="17" t="n">
        <v>46351</v>
      </c>
      <c r="G80" s="15" t="n">
        <v>2250</v>
      </c>
      <c r="H80" s="15" t="n">
        <v>8000</v>
      </c>
      <c r="I80" s="15" t="n">
        <v>2300</v>
      </c>
      <c r="J80" s="15" t="n">
        <f aca="false">MAX(0,H80-I80)</f>
        <v>5700</v>
      </c>
      <c r="K80" s="12" t="str">
        <f aca="false">IF(E80&lt;README!$C$4,"Past",IF(I80&gt;=H80,"FULL",IF(F80&lt;README!$C$4,"Closed","Open")))</f>
        <v>Open</v>
      </c>
      <c r="L80" s="15" t="n">
        <v>60</v>
      </c>
      <c r="M80" s="15" t="n">
        <f aca="false">I80*L80</f>
        <v>138000</v>
      </c>
      <c r="N80" s="15" t="n">
        <f aca="false">I80*G80</f>
        <v>5175000</v>
      </c>
      <c r="O80" s="12"/>
    </row>
    <row r="81" customFormat="false" ht="15" hidden="false" customHeight="false" outlineLevel="0" collapsed="false">
      <c r="A81" s="12" t="s">
        <v>3768</v>
      </c>
      <c r="B81" s="12" t="s">
        <v>2496</v>
      </c>
      <c r="C81" s="12" t="s">
        <v>1991</v>
      </c>
      <c r="D81" s="12" t="s">
        <v>1215</v>
      </c>
      <c r="E81" s="17" t="n">
        <v>46355</v>
      </c>
      <c r="F81" s="17" t="n">
        <v>46352</v>
      </c>
      <c r="G81" s="15" t="n">
        <v>2100</v>
      </c>
      <c r="H81" s="15" t="n">
        <v>5500</v>
      </c>
      <c r="I81" s="15" t="n">
        <v>1650</v>
      </c>
      <c r="J81" s="15" t="n">
        <f aca="false">MAX(0,H81-I81)</f>
        <v>3850</v>
      </c>
      <c r="K81" s="12" t="str">
        <f aca="false">IF(E81&lt;README!$C$4,"Past",IF(I81&gt;=H81,"FULL",IF(F81&lt;README!$C$4,"Closed","Open")))</f>
        <v>Open</v>
      </c>
      <c r="L81" s="15" t="n">
        <v>60</v>
      </c>
      <c r="M81" s="15" t="n">
        <f aca="false">I81*L81</f>
        <v>99000</v>
      </c>
      <c r="N81" s="15" t="n">
        <f aca="false">I81*G81</f>
        <v>3465000</v>
      </c>
      <c r="O81" s="12"/>
    </row>
    <row r="82" customFormat="false" ht="15" hidden="false" customHeight="false" outlineLevel="0" collapsed="false">
      <c r="A82" s="12" t="s">
        <v>3769</v>
      </c>
      <c r="B82" s="12" t="s">
        <v>2484</v>
      </c>
      <c r="C82" s="12" t="s">
        <v>1975</v>
      </c>
      <c r="D82" s="12" t="s">
        <v>1203</v>
      </c>
      <c r="E82" s="17" t="n">
        <v>46355</v>
      </c>
      <c r="F82" s="17" t="n">
        <v>46352</v>
      </c>
      <c r="G82" s="15" t="n">
        <v>2050</v>
      </c>
      <c r="H82" s="15" t="n">
        <v>17500</v>
      </c>
      <c r="I82" s="15" t="n">
        <v>11750</v>
      </c>
      <c r="J82" s="15" t="n">
        <f aca="false">MAX(0,H82-I82)</f>
        <v>5750</v>
      </c>
      <c r="K82" s="12" t="str">
        <f aca="false">IF(E82&lt;README!$C$4,"Past",IF(I82&gt;=H82,"FULL",IF(F82&lt;README!$C$4,"Closed","Open")))</f>
        <v>Open</v>
      </c>
      <c r="L82" s="15" t="n">
        <v>60</v>
      </c>
      <c r="M82" s="15" t="n">
        <f aca="false">I82*L82</f>
        <v>705000</v>
      </c>
      <c r="N82" s="15" t="n">
        <f aca="false">I82*G82</f>
        <v>24087500</v>
      </c>
      <c r="O82" s="12"/>
    </row>
    <row r="83" customFormat="false" ht="15" hidden="false" customHeight="false" outlineLevel="0" collapsed="false">
      <c r="A83" s="12" t="s">
        <v>3770</v>
      </c>
      <c r="B83" s="12" t="s">
        <v>2505</v>
      </c>
      <c r="C83" s="12" t="s">
        <v>2003</v>
      </c>
      <c r="D83" s="12" t="s">
        <v>1221</v>
      </c>
      <c r="E83" s="17" t="n">
        <v>46355</v>
      </c>
      <c r="F83" s="17" t="n">
        <v>46352</v>
      </c>
      <c r="G83" s="15" t="n">
        <v>3050</v>
      </c>
      <c r="H83" s="15" t="n">
        <v>4500</v>
      </c>
      <c r="I83" s="15" t="n">
        <v>550</v>
      </c>
      <c r="J83" s="15" t="n">
        <f aca="false">MAX(0,H83-I83)</f>
        <v>3950</v>
      </c>
      <c r="K83" s="12" t="str">
        <f aca="false">IF(E83&lt;README!$C$4,"Past",IF(I83&gt;=H83,"FULL",IF(F83&lt;README!$C$4,"Closed","Open")))</f>
        <v>Open</v>
      </c>
      <c r="L83" s="15" t="n">
        <v>60</v>
      </c>
      <c r="M83" s="15" t="n">
        <f aca="false">I83*L83</f>
        <v>33000</v>
      </c>
      <c r="N83" s="15" t="n">
        <f aca="false">I83*G83</f>
        <v>1677500</v>
      </c>
      <c r="O83" s="12"/>
    </row>
    <row r="84" customFormat="false" ht="15" hidden="false" customHeight="false" outlineLevel="0" collapsed="false">
      <c r="A84" s="12" t="s">
        <v>3771</v>
      </c>
      <c r="B84" s="12" t="s">
        <v>2487</v>
      </c>
      <c r="C84" s="12" t="s">
        <v>1979</v>
      </c>
      <c r="D84" s="12" t="s">
        <v>1206</v>
      </c>
      <c r="E84" s="17" t="n">
        <v>46356</v>
      </c>
      <c r="F84" s="17" t="n">
        <v>46353</v>
      </c>
      <c r="G84" s="15" t="n">
        <v>2000</v>
      </c>
      <c r="H84" s="15" t="n">
        <v>14000</v>
      </c>
      <c r="I84" s="15" t="n">
        <v>2800</v>
      </c>
      <c r="J84" s="15" t="n">
        <f aca="false">MAX(0,H84-I84)</f>
        <v>11200</v>
      </c>
      <c r="K84" s="12" t="str">
        <f aca="false">IF(E84&lt;README!$C$4,"Past",IF(I84&gt;=H84,"FULL",IF(F84&lt;README!$C$4,"Closed","Open")))</f>
        <v>Open</v>
      </c>
      <c r="L84" s="15" t="n">
        <v>60</v>
      </c>
      <c r="M84" s="15" t="n">
        <f aca="false">I84*L84</f>
        <v>168000</v>
      </c>
      <c r="N84" s="15" t="n">
        <f aca="false">I84*G84</f>
        <v>5600000</v>
      </c>
      <c r="O84" s="12"/>
    </row>
    <row r="85" customFormat="false" ht="15" hidden="false" customHeight="false" outlineLevel="0" collapsed="false">
      <c r="A85" s="12" t="s">
        <v>3772</v>
      </c>
      <c r="B85" s="12" t="s">
        <v>2480</v>
      </c>
      <c r="C85" s="12" t="s">
        <v>1968</v>
      </c>
      <c r="D85" s="12" t="s">
        <v>1198</v>
      </c>
      <c r="E85" s="17" t="n">
        <v>46356</v>
      </c>
      <c r="F85" s="17" t="n">
        <v>46353</v>
      </c>
      <c r="G85" s="15" t="n">
        <v>2150</v>
      </c>
      <c r="H85" s="15" t="n">
        <v>6000</v>
      </c>
      <c r="I85" s="15" t="n">
        <v>3450</v>
      </c>
      <c r="J85" s="15" t="n">
        <f aca="false">MAX(0,H85-I85)</f>
        <v>2550</v>
      </c>
      <c r="K85" s="12" t="str">
        <f aca="false">IF(E85&lt;README!$C$4,"Past",IF(I85&gt;=H85,"FULL",IF(F85&lt;README!$C$4,"Closed","Open")))</f>
        <v>Open</v>
      </c>
      <c r="L85" s="15" t="n">
        <v>60</v>
      </c>
      <c r="M85" s="15" t="n">
        <f aca="false">I85*L85</f>
        <v>207000</v>
      </c>
      <c r="N85" s="15" t="n">
        <f aca="false">I85*G85</f>
        <v>7417500</v>
      </c>
      <c r="O85" s="12"/>
    </row>
    <row r="86" customFormat="false" ht="15" hidden="false" customHeight="false" outlineLevel="0" collapsed="false">
      <c r="A86" s="12" t="s">
        <v>3773</v>
      </c>
      <c r="B86" s="12" t="s">
        <v>2508</v>
      </c>
      <c r="C86" s="12" t="s">
        <v>2008</v>
      </c>
      <c r="D86" s="12" t="s">
        <v>1224</v>
      </c>
      <c r="E86" s="17" t="n">
        <v>46356</v>
      </c>
      <c r="F86" s="17" t="n">
        <v>46353</v>
      </c>
      <c r="G86" s="15" t="n">
        <v>2100</v>
      </c>
      <c r="H86" s="15" t="n">
        <v>13000</v>
      </c>
      <c r="I86" s="15" t="n">
        <v>2050</v>
      </c>
      <c r="J86" s="15" t="n">
        <f aca="false">MAX(0,H86-I86)</f>
        <v>10950</v>
      </c>
      <c r="K86" s="12" t="str">
        <f aca="false">IF(E86&lt;README!$C$4,"Past",IF(I86&gt;=H86,"FULL",IF(F86&lt;README!$C$4,"Closed","Open")))</f>
        <v>Open</v>
      </c>
      <c r="L86" s="15" t="n">
        <v>60</v>
      </c>
      <c r="M86" s="15" t="n">
        <f aca="false">I86*L86</f>
        <v>123000</v>
      </c>
      <c r="N86" s="15" t="n">
        <f aca="false">I86*G86</f>
        <v>4305000</v>
      </c>
      <c r="O86" s="12"/>
    </row>
    <row r="87" customFormat="false" ht="15" hidden="false" customHeight="false" outlineLevel="0" collapsed="false">
      <c r="A87" s="12" t="s">
        <v>3774</v>
      </c>
      <c r="B87" s="12" t="s">
        <v>2526</v>
      </c>
      <c r="C87" s="12" t="s">
        <v>2033</v>
      </c>
      <c r="D87" s="12" t="s">
        <v>1230</v>
      </c>
      <c r="E87" s="17" t="n">
        <v>46356</v>
      </c>
      <c r="F87" s="17" t="n">
        <v>46353</v>
      </c>
      <c r="G87" s="15" t="n">
        <v>3200</v>
      </c>
      <c r="H87" s="15" t="n">
        <v>7500</v>
      </c>
      <c r="I87" s="15" t="n">
        <v>4000</v>
      </c>
      <c r="J87" s="15" t="n">
        <f aca="false">MAX(0,H87-I87)</f>
        <v>3500</v>
      </c>
      <c r="K87" s="12" t="str">
        <f aca="false">IF(E87&lt;README!$C$4,"Past",IF(I87&gt;=H87,"FULL",IF(F87&lt;README!$C$4,"Closed","Open")))</f>
        <v>Open</v>
      </c>
      <c r="L87" s="15" t="n">
        <v>60</v>
      </c>
      <c r="M87" s="15" t="n">
        <f aca="false">I87*L87</f>
        <v>240000</v>
      </c>
      <c r="N87" s="15" t="n">
        <f aca="false">I87*G87</f>
        <v>12800000</v>
      </c>
      <c r="O87" s="12"/>
    </row>
    <row r="88" customFormat="false" ht="15" hidden="false" customHeight="false" outlineLevel="0" collapsed="false">
      <c r="A88" s="12" t="s">
        <v>3775</v>
      </c>
      <c r="B88" s="12" t="s">
        <v>2529</v>
      </c>
      <c r="C88" s="12" t="s">
        <v>2037</v>
      </c>
      <c r="D88" s="12" t="s">
        <v>1230</v>
      </c>
      <c r="E88" s="17" t="n">
        <v>46356</v>
      </c>
      <c r="F88" s="17" t="n">
        <v>46353</v>
      </c>
      <c r="G88" s="15" t="n">
        <v>2300</v>
      </c>
      <c r="H88" s="15" t="n">
        <v>2500</v>
      </c>
      <c r="I88" s="15" t="n">
        <v>1700</v>
      </c>
      <c r="J88" s="15" t="n">
        <f aca="false">MAX(0,H88-I88)</f>
        <v>800</v>
      </c>
      <c r="K88" s="12" t="str">
        <f aca="false">IF(E88&lt;README!$C$4,"Past",IF(I88&gt;=H88,"FULL",IF(F88&lt;README!$C$4,"Closed","Open")))</f>
        <v>Open</v>
      </c>
      <c r="L88" s="15" t="n">
        <v>60</v>
      </c>
      <c r="M88" s="15" t="n">
        <f aca="false">I88*L88</f>
        <v>102000</v>
      </c>
      <c r="N88" s="15" t="n">
        <f aca="false">I88*G88</f>
        <v>3910000</v>
      </c>
      <c r="O88" s="12"/>
    </row>
  </sheetData>
  <autoFilter ref="A1:O8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9138"/>
    <pageSetUpPr fitToPage="false"/>
  </sheetPr>
  <dimension ref="A1:E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50"/>
    <col collapsed="false" customWidth="true" hidden="false" outlineLevel="0" max="3" min="3" style="0" width="27"/>
    <col collapsed="false" customWidth="true" hidden="false" outlineLevel="0" max="4" min="4" style="0" width="47"/>
    <col collapsed="false" customWidth="true" hidden="false" outlineLevel="0" max="5" min="5" style="0" width="80"/>
  </cols>
  <sheetData>
    <row r="1" customFormat="false" ht="31.5" hidden="false" customHeight="true" outlineLevel="0" collapsed="false">
      <c r="A1" s="20" t="s">
        <v>3776</v>
      </c>
      <c r="B1" s="20" t="s">
        <v>3777</v>
      </c>
      <c r="C1" s="20" t="s">
        <v>3778</v>
      </c>
      <c r="D1" s="20" t="s">
        <v>3779</v>
      </c>
      <c r="E1" s="20" t="s">
        <v>3780</v>
      </c>
    </row>
    <row r="2" customFormat="false" ht="15" hidden="false" customHeight="false" outlineLevel="0" collapsed="false">
      <c r="A2" s="12" t="s">
        <v>1004</v>
      </c>
      <c r="B2" s="12" t="s">
        <v>265</v>
      </c>
      <c r="C2" s="12" t="s">
        <v>263</v>
      </c>
      <c r="D2" s="12" t="s">
        <v>265</v>
      </c>
      <c r="E2" s="12" t="s">
        <v>3781</v>
      </c>
    </row>
    <row r="3" customFormat="false" ht="15" hidden="false" customHeight="false" outlineLevel="0" collapsed="false">
      <c r="A3" s="12" t="s">
        <v>1004</v>
      </c>
      <c r="B3" s="12" t="s">
        <v>3782</v>
      </c>
      <c r="C3" s="12" t="s">
        <v>270</v>
      </c>
      <c r="D3" s="12" t="s">
        <v>1368</v>
      </c>
      <c r="E3" s="12" t="s">
        <v>3783</v>
      </c>
    </row>
    <row r="4" customFormat="false" ht="15" hidden="false" customHeight="false" outlineLevel="0" collapsed="false">
      <c r="A4" s="12" t="s">
        <v>1004</v>
      </c>
      <c r="B4" s="12" t="s">
        <v>3784</v>
      </c>
      <c r="C4" s="12" t="s">
        <v>270</v>
      </c>
      <c r="D4" s="12" t="s">
        <v>1368</v>
      </c>
      <c r="E4" s="12" t="s">
        <v>3785</v>
      </c>
    </row>
    <row r="5" customFormat="false" ht="15" hidden="false" customHeight="false" outlineLevel="0" collapsed="false">
      <c r="A5" s="12" t="s">
        <v>1004</v>
      </c>
      <c r="B5" s="12" t="s">
        <v>3786</v>
      </c>
      <c r="C5" s="12" t="s">
        <v>270</v>
      </c>
      <c r="D5" s="12" t="s">
        <v>1368</v>
      </c>
      <c r="E5" s="12" t="s">
        <v>3787</v>
      </c>
    </row>
    <row r="6" customFormat="false" ht="15" hidden="false" customHeight="false" outlineLevel="0" collapsed="false">
      <c r="A6" s="12" t="s">
        <v>1004</v>
      </c>
      <c r="B6" s="12" t="s">
        <v>3788</v>
      </c>
      <c r="C6" s="12" t="s">
        <v>270</v>
      </c>
      <c r="D6" s="12" t="s">
        <v>1368</v>
      </c>
      <c r="E6" s="12" t="s">
        <v>3789</v>
      </c>
    </row>
    <row r="7" customFormat="false" ht="15" hidden="false" customHeight="false" outlineLevel="0" collapsed="false">
      <c r="A7" s="12" t="s">
        <v>1004</v>
      </c>
      <c r="B7" s="12" t="s">
        <v>1462</v>
      </c>
      <c r="C7" s="12" t="s">
        <v>278</v>
      </c>
      <c r="D7" s="12" t="s">
        <v>1462</v>
      </c>
      <c r="E7" s="12" t="s">
        <v>3790</v>
      </c>
    </row>
    <row r="8" customFormat="false" ht="15" hidden="false" customHeight="false" outlineLevel="0" collapsed="false">
      <c r="A8" s="12" t="s">
        <v>1004</v>
      </c>
      <c r="B8" s="12" t="s">
        <v>3791</v>
      </c>
      <c r="C8" s="12" t="s">
        <v>270</v>
      </c>
      <c r="D8" s="12" t="s">
        <v>1368</v>
      </c>
      <c r="E8" s="12" t="s">
        <v>3792</v>
      </c>
    </row>
    <row r="9" customFormat="false" ht="15" hidden="false" customHeight="false" outlineLevel="0" collapsed="false">
      <c r="A9" s="12" t="s">
        <v>1004</v>
      </c>
      <c r="B9" s="12" t="s">
        <v>3793</v>
      </c>
      <c r="C9" s="12" t="s">
        <v>380</v>
      </c>
      <c r="D9" s="12" t="s">
        <v>382</v>
      </c>
      <c r="E9" s="12" t="s">
        <v>3794</v>
      </c>
    </row>
    <row r="10" customFormat="false" ht="15" hidden="false" customHeight="false" outlineLevel="0" collapsed="false">
      <c r="A10" s="12" t="s">
        <v>1004</v>
      </c>
      <c r="B10" s="12" t="s">
        <v>346</v>
      </c>
      <c r="C10" s="12" t="s">
        <v>3795</v>
      </c>
      <c r="D10" s="12" t="s">
        <v>3796</v>
      </c>
      <c r="E10" s="12" t="s">
        <v>3797</v>
      </c>
    </row>
    <row r="11" customFormat="false" ht="15" hidden="false" customHeight="false" outlineLevel="0" collapsed="false">
      <c r="A11" s="12" t="s">
        <v>1004</v>
      </c>
      <c r="B11" s="12" t="s">
        <v>3798</v>
      </c>
      <c r="C11" s="12" t="s">
        <v>3799</v>
      </c>
      <c r="D11" s="12" t="s">
        <v>3800</v>
      </c>
      <c r="E11" s="12" t="s">
        <v>3801</v>
      </c>
    </row>
    <row r="12" customFormat="false" ht="15" hidden="false" customHeight="false" outlineLevel="0" collapsed="false">
      <c r="A12" s="12" t="s">
        <v>1004</v>
      </c>
      <c r="B12" s="12" t="s">
        <v>3802</v>
      </c>
      <c r="C12" s="12" t="s">
        <v>402</v>
      </c>
      <c r="D12" s="12" t="s">
        <v>404</v>
      </c>
      <c r="E12" s="12" t="s">
        <v>3803</v>
      </c>
    </row>
    <row r="13" customFormat="false" ht="15" hidden="false" customHeight="false" outlineLevel="0" collapsed="false">
      <c r="A13" s="12" t="s">
        <v>1004</v>
      </c>
      <c r="B13" s="12" t="s">
        <v>3804</v>
      </c>
      <c r="C13" s="12" t="s">
        <v>408</v>
      </c>
      <c r="D13" s="12" t="s">
        <v>3805</v>
      </c>
      <c r="E13" s="12" t="s">
        <v>3790</v>
      </c>
    </row>
    <row r="14" customFormat="false" ht="15" hidden="false" customHeight="false" outlineLevel="0" collapsed="false">
      <c r="A14" s="12" t="s">
        <v>1004</v>
      </c>
      <c r="B14" s="12" t="s">
        <v>3806</v>
      </c>
      <c r="C14" s="12" t="s">
        <v>3807</v>
      </c>
      <c r="D14" s="12" t="s">
        <v>3808</v>
      </c>
      <c r="E14" s="12" t="s">
        <v>3809</v>
      </c>
    </row>
    <row r="15" customFormat="false" ht="15" hidden="false" customHeight="false" outlineLevel="0" collapsed="false">
      <c r="A15" s="12" t="s">
        <v>1004</v>
      </c>
      <c r="B15" s="12" t="s">
        <v>3810</v>
      </c>
      <c r="C15" s="12" t="s">
        <v>3811</v>
      </c>
      <c r="D15" s="12" t="s">
        <v>3812</v>
      </c>
      <c r="E15" s="12" t="s">
        <v>3813</v>
      </c>
    </row>
    <row r="16" customFormat="false" ht="15" hidden="false" customHeight="false" outlineLevel="0" collapsed="false">
      <c r="A16" s="12" t="s">
        <v>1004</v>
      </c>
      <c r="B16" s="12" t="s">
        <v>3814</v>
      </c>
      <c r="C16" s="12" t="s">
        <v>3815</v>
      </c>
      <c r="D16" s="12" t="s">
        <v>3816</v>
      </c>
      <c r="E16" s="12" t="s">
        <v>3817</v>
      </c>
    </row>
    <row r="17" customFormat="false" ht="15" hidden="false" customHeight="false" outlineLevel="0" collapsed="false">
      <c r="A17" s="12" t="s">
        <v>1004</v>
      </c>
      <c r="B17" s="12" t="s">
        <v>3814</v>
      </c>
      <c r="C17" s="12" t="s">
        <v>3818</v>
      </c>
      <c r="D17" s="12" t="s">
        <v>444</v>
      </c>
      <c r="E17" s="12" t="s">
        <v>3817</v>
      </c>
    </row>
    <row r="18" customFormat="false" ht="15" hidden="false" customHeight="false" outlineLevel="0" collapsed="false">
      <c r="A18" s="12" t="s">
        <v>1004</v>
      </c>
      <c r="B18" s="12" t="s">
        <v>3819</v>
      </c>
      <c r="C18" s="12" t="s">
        <v>449</v>
      </c>
      <c r="D18" s="12" t="s">
        <v>3820</v>
      </c>
      <c r="E18" s="12" t="s">
        <v>3821</v>
      </c>
    </row>
    <row r="19" customFormat="false" ht="15" hidden="false" customHeight="false" outlineLevel="0" collapsed="false">
      <c r="A19" s="12" t="s">
        <v>1002</v>
      </c>
      <c r="B19" s="12" t="s">
        <v>95</v>
      </c>
      <c r="C19" s="12" t="s">
        <v>93</v>
      </c>
      <c r="D19" s="12" t="s">
        <v>95</v>
      </c>
      <c r="E19" s="12" t="s">
        <v>3790</v>
      </c>
    </row>
    <row r="20" customFormat="false" ht="15" hidden="false" customHeight="false" outlineLevel="0" collapsed="false">
      <c r="A20" s="12" t="s">
        <v>1002</v>
      </c>
      <c r="B20" s="12" t="s">
        <v>3822</v>
      </c>
      <c r="C20" s="12" t="s">
        <v>99</v>
      </c>
      <c r="D20" s="12" t="s">
        <v>101</v>
      </c>
      <c r="E20" s="12" t="s">
        <v>3790</v>
      </c>
    </row>
    <row r="21" customFormat="false" ht="15" hidden="false" customHeight="false" outlineLevel="0" collapsed="false">
      <c r="A21" s="12" t="s">
        <v>1002</v>
      </c>
      <c r="B21" s="12" t="s">
        <v>3823</v>
      </c>
      <c r="C21" s="12" t="s">
        <v>104</v>
      </c>
      <c r="D21" s="12" t="s">
        <v>3824</v>
      </c>
      <c r="E21" s="12" t="s">
        <v>3790</v>
      </c>
    </row>
    <row r="22" customFormat="false" ht="15" hidden="false" customHeight="false" outlineLevel="0" collapsed="false">
      <c r="A22" s="12" t="s">
        <v>1002</v>
      </c>
      <c r="B22" s="12" t="s">
        <v>110</v>
      </c>
      <c r="C22" s="12" t="s">
        <v>3825</v>
      </c>
      <c r="D22" s="12" t="s">
        <v>3826</v>
      </c>
      <c r="E22" s="12" t="s">
        <v>3827</v>
      </c>
    </row>
    <row r="23" customFormat="false" ht="15" hidden="false" customHeight="false" outlineLevel="0" collapsed="false">
      <c r="A23" s="12" t="s">
        <v>1002</v>
      </c>
      <c r="B23" s="12" t="s">
        <v>126</v>
      </c>
      <c r="C23" s="12" t="s">
        <v>3828</v>
      </c>
      <c r="D23" s="12" t="s">
        <v>3829</v>
      </c>
      <c r="E23" s="12" t="s">
        <v>3830</v>
      </c>
    </row>
    <row r="24" customFormat="false" ht="15" hidden="false" customHeight="false" outlineLevel="0" collapsed="false">
      <c r="A24" s="12" t="s">
        <v>1002</v>
      </c>
      <c r="B24" s="12" t="s">
        <v>139</v>
      </c>
      <c r="C24" s="12" t="s">
        <v>137</v>
      </c>
      <c r="D24" s="12" t="s">
        <v>139</v>
      </c>
      <c r="E24" s="12" t="s">
        <v>3790</v>
      </c>
    </row>
    <row r="25" customFormat="false" ht="15" hidden="false" customHeight="false" outlineLevel="0" collapsed="false">
      <c r="A25" s="12" t="s">
        <v>1002</v>
      </c>
      <c r="B25" s="12" t="s">
        <v>143</v>
      </c>
      <c r="C25" s="12" t="s">
        <v>3831</v>
      </c>
      <c r="D25" s="12" t="s">
        <v>3832</v>
      </c>
      <c r="E25" s="12" t="s">
        <v>3830</v>
      </c>
    </row>
    <row r="26" customFormat="false" ht="15" hidden="false" customHeight="false" outlineLevel="0" collapsed="false">
      <c r="A26" s="12" t="s">
        <v>1002</v>
      </c>
      <c r="B26" s="12" t="s">
        <v>3833</v>
      </c>
      <c r="C26" s="12" t="s">
        <v>153</v>
      </c>
      <c r="D26" s="12" t="s">
        <v>3834</v>
      </c>
      <c r="E26" s="12" t="s">
        <v>3790</v>
      </c>
    </row>
  </sheetData>
  <autoFilter ref="A1:E2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9138"/>
    <pageSetUpPr fitToPage="false"/>
  </sheetPr>
  <dimension ref="A1:P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9"/>
    <col collapsed="false" customWidth="true" hidden="false" outlineLevel="0" max="3" min="3" style="0" width="20"/>
    <col collapsed="false" customWidth="true" hidden="false" outlineLevel="0" max="4" min="4" style="0" width="32"/>
    <col collapsed="false" customWidth="true" hidden="false" outlineLevel="0" max="5" min="5" style="0" width="11"/>
    <col collapsed="false" customWidth="true" hidden="false" outlineLevel="0" max="6" min="6" style="0" width="29"/>
    <col collapsed="false" customWidth="true" hidden="false" outlineLevel="0" max="7" min="7" style="0" width="60"/>
    <col collapsed="false" customWidth="true" hidden="false" outlineLevel="0" max="8" min="8" style="0" width="16"/>
    <col collapsed="false" customWidth="true" hidden="false" outlineLevel="0" max="9" min="9" style="0" width="36"/>
    <col collapsed="false" customWidth="true" hidden="false" outlineLevel="0" max="10" min="10" style="0" width="12"/>
    <col collapsed="false" customWidth="true" hidden="false" outlineLevel="0" max="11" min="11" style="0" width="17"/>
    <col collapsed="false" customWidth="true" hidden="false" outlineLevel="0" max="12" min="12" style="0" width="52"/>
    <col collapsed="false" customWidth="true" hidden="false" outlineLevel="0" max="13" min="13" style="0" width="22"/>
    <col collapsed="false" customWidth="true" hidden="false" outlineLevel="0" max="14" min="14" style="0" width="17"/>
    <col collapsed="false" customWidth="true" hidden="false" outlineLevel="0" max="15" min="15" style="0" width="55"/>
    <col collapsed="false" customWidth="true" hidden="false" outlineLevel="0" max="16" min="16" style="0" width="40"/>
  </cols>
  <sheetData>
    <row r="1" customFormat="false" ht="31.5" hidden="false" customHeight="true" outlineLevel="0" collapsed="false">
      <c r="A1" s="20" t="s">
        <v>3835</v>
      </c>
      <c r="B1" s="20" t="s">
        <v>3836</v>
      </c>
      <c r="C1" s="20" t="s">
        <v>929</v>
      </c>
      <c r="D1" s="20" t="s">
        <v>3837</v>
      </c>
      <c r="E1" s="20" t="s">
        <v>3838</v>
      </c>
      <c r="F1" s="20" t="s">
        <v>3839</v>
      </c>
      <c r="G1" s="20" t="s">
        <v>3840</v>
      </c>
      <c r="H1" s="20" t="s">
        <v>3841</v>
      </c>
      <c r="I1" s="20" t="s">
        <v>3842</v>
      </c>
      <c r="J1" s="20" t="s">
        <v>3843</v>
      </c>
      <c r="K1" s="20" t="s">
        <v>3844</v>
      </c>
      <c r="L1" s="20" t="s">
        <v>3845</v>
      </c>
      <c r="M1" s="20" t="s">
        <v>3846</v>
      </c>
      <c r="N1" s="20" t="s">
        <v>3847</v>
      </c>
      <c r="O1" s="20" t="s">
        <v>3848</v>
      </c>
      <c r="P1" s="20" t="s">
        <v>3849</v>
      </c>
    </row>
    <row r="2" customFormat="false" ht="15" hidden="false" customHeight="false" outlineLevel="0" collapsed="false">
      <c r="A2" s="12" t="s">
        <v>3850</v>
      </c>
      <c r="B2" s="12"/>
      <c r="C2" s="12" t="s">
        <v>110</v>
      </c>
      <c r="D2" s="12" t="s">
        <v>346</v>
      </c>
      <c r="E2" s="12" t="s">
        <v>979</v>
      </c>
      <c r="F2" s="12" t="s">
        <v>3851</v>
      </c>
      <c r="G2" s="12" t="s">
        <v>3852</v>
      </c>
      <c r="H2" s="12" t="s">
        <v>1697</v>
      </c>
      <c r="I2" s="12" t="s">
        <v>1698</v>
      </c>
      <c r="J2" s="12" t="s">
        <v>2317</v>
      </c>
      <c r="K2" s="12" t="s">
        <v>356</v>
      </c>
      <c r="L2" s="12" t="s">
        <v>1699</v>
      </c>
      <c r="M2" s="12" t="s">
        <v>1700</v>
      </c>
      <c r="N2" s="12" t="s">
        <v>160</v>
      </c>
      <c r="O2" s="12" t="s">
        <v>3853</v>
      </c>
      <c r="P2" s="12"/>
    </row>
    <row r="3" customFormat="false" ht="15" hidden="false" customHeight="false" outlineLevel="0" collapsed="false">
      <c r="A3" s="12" t="s">
        <v>3854</v>
      </c>
      <c r="B3" s="12"/>
      <c r="C3" s="12" t="s">
        <v>95</v>
      </c>
      <c r="D3" s="12" t="s">
        <v>3804</v>
      </c>
      <c r="E3" s="12" t="s">
        <v>985</v>
      </c>
      <c r="F3" s="12" t="s">
        <v>3851</v>
      </c>
      <c r="G3" s="12" t="s">
        <v>3855</v>
      </c>
      <c r="H3" s="12" t="s">
        <v>1865</v>
      </c>
      <c r="I3" s="12" t="s">
        <v>1866</v>
      </c>
      <c r="J3" s="12" t="s">
        <v>2429</v>
      </c>
      <c r="K3" s="12" t="s">
        <v>408</v>
      </c>
      <c r="L3" s="12" t="s">
        <v>1867</v>
      </c>
      <c r="M3" s="12" t="s">
        <v>93</v>
      </c>
      <c r="N3" s="12" t="s">
        <v>160</v>
      </c>
      <c r="O3" s="12" t="s">
        <v>3856</v>
      </c>
      <c r="P3" s="12"/>
    </row>
    <row r="4" customFormat="false" ht="15" hidden="false" customHeight="false" outlineLevel="0" collapsed="false">
      <c r="A4" s="12" t="s">
        <v>3857</v>
      </c>
      <c r="B4" s="12" t="s">
        <v>1114</v>
      </c>
      <c r="C4" s="12" t="s">
        <v>101</v>
      </c>
      <c r="D4" s="12" t="s">
        <v>3786</v>
      </c>
      <c r="E4" s="12" t="s">
        <v>975</v>
      </c>
      <c r="F4" s="12" t="s">
        <v>3851</v>
      </c>
      <c r="G4" s="12" t="s">
        <v>3858</v>
      </c>
      <c r="H4" s="12" t="s">
        <v>1379</v>
      </c>
      <c r="I4" s="12" t="s">
        <v>1380</v>
      </c>
      <c r="J4" s="12" t="s">
        <v>2084</v>
      </c>
      <c r="K4" s="12" t="s">
        <v>270</v>
      </c>
      <c r="L4" s="12" t="s">
        <v>1368</v>
      </c>
      <c r="M4" s="12" t="s">
        <v>99</v>
      </c>
      <c r="N4" s="12" t="s">
        <v>175</v>
      </c>
      <c r="O4" s="12" t="s">
        <v>3859</v>
      </c>
      <c r="P4" s="12"/>
    </row>
    <row r="5" customFormat="false" ht="15" hidden="false" customHeight="false" outlineLevel="0" collapsed="false">
      <c r="A5" s="12" t="s">
        <v>3860</v>
      </c>
      <c r="B5" s="12" t="s">
        <v>1114</v>
      </c>
      <c r="C5" s="12" t="s">
        <v>101</v>
      </c>
      <c r="D5" s="12" t="s">
        <v>3784</v>
      </c>
      <c r="E5" s="12" t="s">
        <v>975</v>
      </c>
      <c r="F5" s="12" t="s">
        <v>3861</v>
      </c>
      <c r="G5" s="12" t="s">
        <v>3862</v>
      </c>
      <c r="H5" s="12" t="s">
        <v>1374</v>
      </c>
      <c r="I5" s="12" t="s">
        <v>1375</v>
      </c>
      <c r="J5" s="12" t="s">
        <v>2078</v>
      </c>
      <c r="K5" s="12" t="s">
        <v>270</v>
      </c>
      <c r="L5" s="12" t="s">
        <v>1368</v>
      </c>
      <c r="M5" s="12" t="s">
        <v>99</v>
      </c>
      <c r="N5" s="12" t="s">
        <v>170</v>
      </c>
      <c r="O5" s="12" t="s">
        <v>3863</v>
      </c>
      <c r="P5" s="12" t="s">
        <v>3864</v>
      </c>
    </row>
    <row r="6" customFormat="false" ht="15" hidden="false" customHeight="false" outlineLevel="0" collapsed="false">
      <c r="A6" s="12" t="s">
        <v>3860</v>
      </c>
      <c r="B6" s="12" t="s">
        <v>1118</v>
      </c>
      <c r="C6" s="12" t="s">
        <v>101</v>
      </c>
      <c r="D6" s="12" t="s">
        <v>3784</v>
      </c>
      <c r="E6" s="12" t="s">
        <v>975</v>
      </c>
      <c r="F6" s="12" t="s">
        <v>3865</v>
      </c>
      <c r="G6" s="12" t="s">
        <v>3866</v>
      </c>
      <c r="H6" s="12" t="s">
        <v>1391</v>
      </c>
      <c r="I6" s="12" t="s">
        <v>1392</v>
      </c>
      <c r="J6" s="12" t="s">
        <v>2093</v>
      </c>
      <c r="K6" s="12" t="s">
        <v>270</v>
      </c>
      <c r="L6" s="12" t="s">
        <v>1368</v>
      </c>
      <c r="M6" s="12" t="s">
        <v>99</v>
      </c>
      <c r="N6" s="12" t="s">
        <v>170</v>
      </c>
      <c r="O6" s="12" t="s">
        <v>3867</v>
      </c>
      <c r="P6" s="12" t="s">
        <v>3868</v>
      </c>
    </row>
    <row r="7" customFormat="false" ht="15" hidden="false" customHeight="false" outlineLevel="0" collapsed="false">
      <c r="A7" s="12" t="s">
        <v>3869</v>
      </c>
      <c r="B7" s="12" t="s">
        <v>1114</v>
      </c>
      <c r="C7" s="12" t="s">
        <v>101</v>
      </c>
      <c r="D7" s="12" t="s">
        <v>3782</v>
      </c>
      <c r="E7" s="12" t="s">
        <v>975</v>
      </c>
      <c r="F7" s="12" t="s">
        <v>3865</v>
      </c>
      <c r="G7" s="12" t="s">
        <v>3870</v>
      </c>
      <c r="H7" s="12" t="s">
        <v>1366</v>
      </c>
      <c r="I7" s="12" t="s">
        <v>1367</v>
      </c>
      <c r="J7" s="12" t="s">
        <v>2070</v>
      </c>
      <c r="K7" s="12" t="s">
        <v>270</v>
      </c>
      <c r="L7" s="12" t="s">
        <v>1368</v>
      </c>
      <c r="M7" s="12" t="s">
        <v>99</v>
      </c>
      <c r="N7" s="12" t="s">
        <v>166</v>
      </c>
      <c r="O7" s="12" t="s">
        <v>3871</v>
      </c>
      <c r="P7" s="12" t="s">
        <v>3872</v>
      </c>
    </row>
    <row r="8" customFormat="false" ht="15" hidden="false" customHeight="false" outlineLevel="0" collapsed="false">
      <c r="A8" s="12" t="s">
        <v>3873</v>
      </c>
      <c r="B8" s="12"/>
      <c r="C8" s="12" t="s">
        <v>110</v>
      </c>
      <c r="D8" s="12" t="s">
        <v>265</v>
      </c>
      <c r="E8" s="12" t="s">
        <v>975</v>
      </c>
      <c r="F8" s="12" t="s">
        <v>3865</v>
      </c>
      <c r="G8" s="12" t="s">
        <v>3874</v>
      </c>
      <c r="H8" s="12" t="s">
        <v>1423</v>
      </c>
      <c r="I8" s="12" t="s">
        <v>1424</v>
      </c>
      <c r="J8" s="12" t="s">
        <v>2120</v>
      </c>
      <c r="K8" s="12" t="s">
        <v>270</v>
      </c>
      <c r="L8" s="12" t="s">
        <v>1368</v>
      </c>
      <c r="M8" s="12" t="s">
        <v>113</v>
      </c>
      <c r="N8" s="12" t="s">
        <v>216</v>
      </c>
      <c r="O8" s="12" t="s">
        <v>3875</v>
      </c>
      <c r="P8" s="12"/>
    </row>
    <row r="9" customFormat="false" ht="15" hidden="false" customHeight="false" outlineLevel="0" collapsed="false">
      <c r="A9" s="12" t="s">
        <v>3876</v>
      </c>
      <c r="B9" s="12"/>
      <c r="C9" s="12" t="s">
        <v>126</v>
      </c>
      <c r="D9" s="12" t="s">
        <v>3798</v>
      </c>
      <c r="E9" s="12" t="s">
        <v>985</v>
      </c>
      <c r="F9" s="12" t="s">
        <v>3851</v>
      </c>
      <c r="G9" s="12" t="s">
        <v>3877</v>
      </c>
      <c r="H9" s="12" t="s">
        <v>1619</v>
      </c>
      <c r="I9" s="12" t="s">
        <v>1620</v>
      </c>
      <c r="J9" s="12" t="s">
        <v>2260</v>
      </c>
      <c r="K9" s="12" t="s">
        <v>323</v>
      </c>
      <c r="L9" s="12" t="s">
        <v>1621</v>
      </c>
      <c r="M9" s="12" t="s">
        <v>1437</v>
      </c>
      <c r="N9" s="12" t="s">
        <v>160</v>
      </c>
      <c r="O9" s="12" t="s">
        <v>3878</v>
      </c>
      <c r="P9" s="12"/>
    </row>
    <row r="10" customFormat="false" ht="15" hidden="false" customHeight="false" outlineLevel="0" collapsed="false">
      <c r="A10" s="12" t="s">
        <v>3879</v>
      </c>
      <c r="B10" s="12"/>
      <c r="C10" s="12" t="s">
        <v>101</v>
      </c>
      <c r="D10" s="12" t="s">
        <v>3793</v>
      </c>
      <c r="E10" s="12" t="s">
        <v>981</v>
      </c>
      <c r="F10" s="12" t="s">
        <v>3865</v>
      </c>
      <c r="G10" s="12" t="s">
        <v>3880</v>
      </c>
      <c r="H10" s="12" t="s">
        <v>1792</v>
      </c>
      <c r="I10" s="12" t="s">
        <v>1793</v>
      </c>
      <c r="J10" s="12" t="s">
        <v>2387</v>
      </c>
      <c r="K10" s="12" t="s">
        <v>380</v>
      </c>
      <c r="L10" s="12" t="s">
        <v>382</v>
      </c>
      <c r="M10" s="12" t="s">
        <v>99</v>
      </c>
      <c r="N10" s="12" t="s">
        <v>166</v>
      </c>
      <c r="O10" s="12" t="s">
        <v>3881</v>
      </c>
      <c r="P10" s="12"/>
    </row>
    <row r="11" customFormat="false" ht="15" hidden="false" customHeight="false" outlineLevel="0" collapsed="false">
      <c r="A11" s="12" t="s">
        <v>3882</v>
      </c>
      <c r="B11" s="12" t="s">
        <v>1114</v>
      </c>
      <c r="C11" s="12" t="s">
        <v>101</v>
      </c>
      <c r="D11" s="12" t="s">
        <v>3788</v>
      </c>
      <c r="E11" s="12" t="s">
        <v>975</v>
      </c>
      <c r="F11" s="12" t="s">
        <v>3851</v>
      </c>
      <c r="G11" s="12" t="s">
        <v>3883</v>
      </c>
      <c r="H11" s="12" t="s">
        <v>1396</v>
      </c>
      <c r="I11" s="12" t="s">
        <v>1397</v>
      </c>
      <c r="J11" s="12" t="s">
        <v>2102</v>
      </c>
      <c r="K11" s="12" t="s">
        <v>270</v>
      </c>
      <c r="L11" s="12" t="s">
        <v>1368</v>
      </c>
      <c r="M11" s="12" t="s">
        <v>99</v>
      </c>
      <c r="N11" s="12" t="s">
        <v>179</v>
      </c>
      <c r="O11" s="12" t="s">
        <v>3884</v>
      </c>
      <c r="P11" s="12"/>
    </row>
    <row r="12" customFormat="false" ht="15" hidden="false" customHeight="false" outlineLevel="0" collapsed="false">
      <c r="A12" s="12" t="s">
        <v>3885</v>
      </c>
      <c r="B12" s="12"/>
      <c r="C12" s="12" t="s">
        <v>101</v>
      </c>
      <c r="D12" s="12" t="s">
        <v>3793</v>
      </c>
      <c r="E12" s="12" t="s">
        <v>981</v>
      </c>
      <c r="F12" s="12" t="s">
        <v>3851</v>
      </c>
      <c r="G12" s="12" t="s">
        <v>3886</v>
      </c>
      <c r="H12" s="12" t="s">
        <v>1777</v>
      </c>
      <c r="I12" s="12" t="s">
        <v>1778</v>
      </c>
      <c r="J12" s="12" t="s">
        <v>2365</v>
      </c>
      <c r="K12" s="12" t="s">
        <v>380</v>
      </c>
      <c r="L12" s="12" t="s">
        <v>382</v>
      </c>
      <c r="M12" s="12" t="s">
        <v>99</v>
      </c>
      <c r="N12" s="12" t="s">
        <v>160</v>
      </c>
      <c r="O12" s="12" t="s">
        <v>3887</v>
      </c>
      <c r="P12" s="12"/>
    </row>
    <row r="13" customFormat="false" ht="15" hidden="false" customHeight="false" outlineLevel="0" collapsed="false">
      <c r="A13" s="12" t="s">
        <v>3888</v>
      </c>
      <c r="B13" s="12"/>
      <c r="C13" s="12" t="s">
        <v>110</v>
      </c>
      <c r="D13" s="12" t="s">
        <v>346</v>
      </c>
      <c r="E13" s="12" t="s">
        <v>979</v>
      </c>
      <c r="F13" s="12" t="s">
        <v>3851</v>
      </c>
      <c r="G13" s="12" t="s">
        <v>3889</v>
      </c>
      <c r="H13" s="12" t="s">
        <v>1668</v>
      </c>
      <c r="I13" s="12" t="s">
        <v>1669</v>
      </c>
      <c r="J13" s="12" t="s">
        <v>2302</v>
      </c>
      <c r="K13" s="12" t="s">
        <v>352</v>
      </c>
      <c r="L13" s="12" t="s">
        <v>1670</v>
      </c>
      <c r="M13" s="12" t="s">
        <v>1590</v>
      </c>
      <c r="N13" s="12" t="s">
        <v>160</v>
      </c>
      <c r="O13" s="12" t="s">
        <v>3890</v>
      </c>
      <c r="P13" s="12" t="s">
        <v>3891</v>
      </c>
    </row>
    <row r="14" customFormat="false" ht="15" hidden="false" customHeight="false" outlineLevel="0" collapsed="false">
      <c r="A14" s="12" t="s">
        <v>3892</v>
      </c>
      <c r="B14" s="12"/>
      <c r="C14" s="12" t="s">
        <v>139</v>
      </c>
      <c r="D14" s="12" t="s">
        <v>3784</v>
      </c>
      <c r="E14" s="12" t="s">
        <v>975</v>
      </c>
      <c r="F14" s="12" t="s">
        <v>3851</v>
      </c>
      <c r="G14" s="12" t="s">
        <v>3893</v>
      </c>
      <c r="H14" s="12" t="s">
        <v>1412</v>
      </c>
      <c r="I14" s="12" t="s">
        <v>1413</v>
      </c>
      <c r="J14" s="12" t="s">
        <v>2111</v>
      </c>
      <c r="K14" s="12" t="s">
        <v>270</v>
      </c>
      <c r="L14" s="12" t="s">
        <v>1368</v>
      </c>
      <c r="M14" s="12" t="s">
        <v>137</v>
      </c>
      <c r="N14" s="12" t="s">
        <v>195</v>
      </c>
      <c r="O14" s="12" t="s">
        <v>3894</v>
      </c>
      <c r="P14" s="12"/>
    </row>
    <row r="15" customFormat="false" ht="15" hidden="false" customHeight="false" outlineLevel="0" collapsed="false">
      <c r="A15" s="12" t="s">
        <v>3895</v>
      </c>
      <c r="B15" s="12"/>
      <c r="C15" s="12" t="s">
        <v>95</v>
      </c>
      <c r="D15" s="12" t="s">
        <v>3798</v>
      </c>
      <c r="E15" s="12" t="s">
        <v>977</v>
      </c>
      <c r="F15" s="12" t="s">
        <v>3851</v>
      </c>
      <c r="G15" s="12" t="s">
        <v>3896</v>
      </c>
      <c r="H15" s="12" t="s">
        <v>1572</v>
      </c>
      <c r="I15" s="12" t="s">
        <v>1573</v>
      </c>
      <c r="J15" s="12" t="s">
        <v>2223</v>
      </c>
      <c r="K15" s="12" t="s">
        <v>312</v>
      </c>
      <c r="L15" s="12" t="s">
        <v>1563</v>
      </c>
      <c r="M15" s="12" t="s">
        <v>93</v>
      </c>
      <c r="N15" s="12" t="s">
        <v>160</v>
      </c>
      <c r="O15" s="12" t="s">
        <v>3897</v>
      </c>
      <c r="P15" s="12" t="s">
        <v>3898</v>
      </c>
    </row>
    <row r="16" customFormat="false" ht="15" hidden="false" customHeight="false" outlineLevel="0" collapsed="false">
      <c r="A16" s="12" t="s">
        <v>3899</v>
      </c>
      <c r="B16" s="12"/>
      <c r="C16" s="12" t="s">
        <v>143</v>
      </c>
      <c r="D16" s="12" t="s">
        <v>265</v>
      </c>
      <c r="E16" s="12" t="s">
        <v>975</v>
      </c>
      <c r="F16" s="12" t="s">
        <v>3851</v>
      </c>
      <c r="G16" s="12" t="s">
        <v>3900</v>
      </c>
      <c r="H16" s="12" t="s">
        <v>1447</v>
      </c>
      <c r="I16" s="12" t="s">
        <v>1448</v>
      </c>
      <c r="J16" s="12" t="s">
        <v>2133</v>
      </c>
      <c r="K16" s="12" t="s">
        <v>270</v>
      </c>
      <c r="L16" s="12" t="s">
        <v>1368</v>
      </c>
      <c r="M16" s="12" t="s">
        <v>145</v>
      </c>
      <c r="N16" s="12" t="s">
        <v>249</v>
      </c>
      <c r="O16" s="12" t="s">
        <v>3901</v>
      </c>
      <c r="P16" s="12" t="s">
        <v>3902</v>
      </c>
    </row>
  </sheetData>
  <autoFilter ref="A1:P1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9138"/>
    <pageSetUpPr fitToPage="false"/>
  </sheetPr>
  <dimension ref="A1:F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9"/>
    <col collapsed="false" customWidth="true" hidden="false" outlineLevel="0" max="3" min="3" style="0" width="22"/>
    <col collapsed="false" customWidth="true" hidden="false" outlineLevel="0" max="4" min="4" style="0" width="43"/>
    <col collapsed="false" customWidth="true" hidden="false" outlineLevel="0" max="5" min="5" style="0" width="70"/>
    <col collapsed="false" customWidth="true" hidden="false" outlineLevel="0" max="6" min="6" style="0" width="50"/>
  </cols>
  <sheetData>
    <row r="1" customFormat="false" ht="31.5" hidden="false" customHeight="true" outlineLevel="0" collapsed="false">
      <c r="A1" s="20" t="s">
        <v>3903</v>
      </c>
      <c r="B1" s="20" t="s">
        <v>3777</v>
      </c>
      <c r="C1" s="20" t="s">
        <v>3778</v>
      </c>
      <c r="D1" s="20" t="s">
        <v>3904</v>
      </c>
      <c r="E1" s="20" t="s">
        <v>3905</v>
      </c>
      <c r="F1" s="20" t="s">
        <v>3849</v>
      </c>
    </row>
    <row r="2" customFormat="false" ht="15" hidden="false" customHeight="false" outlineLevel="0" collapsed="false">
      <c r="A2" s="12" t="s">
        <v>3906</v>
      </c>
      <c r="B2" s="12" t="s">
        <v>3907</v>
      </c>
      <c r="C2" s="12" t="s">
        <v>1190</v>
      </c>
      <c r="D2" s="12" t="s">
        <v>1108</v>
      </c>
      <c r="E2" s="12" t="s">
        <v>3908</v>
      </c>
      <c r="F2" s="12"/>
    </row>
    <row r="3" customFormat="false" ht="15" hidden="false" customHeight="false" outlineLevel="0" collapsed="false">
      <c r="A3" s="12" t="s">
        <v>3909</v>
      </c>
      <c r="B3" s="12" t="s">
        <v>3910</v>
      </c>
      <c r="C3" s="12" t="s">
        <v>1195</v>
      </c>
      <c r="D3" s="12" t="s">
        <v>1280</v>
      </c>
      <c r="E3" s="12" t="s">
        <v>3911</v>
      </c>
      <c r="F3" s="12"/>
    </row>
    <row r="4" customFormat="false" ht="15" hidden="false" customHeight="false" outlineLevel="0" collapsed="false">
      <c r="A4" s="12" t="s">
        <v>3909</v>
      </c>
      <c r="B4" s="12" t="s">
        <v>3912</v>
      </c>
      <c r="C4" s="12" t="s">
        <v>3913</v>
      </c>
      <c r="D4" s="12" t="s">
        <v>3914</v>
      </c>
      <c r="E4" s="12" t="s">
        <v>3915</v>
      </c>
      <c r="F4" s="12" t="s">
        <v>3916</v>
      </c>
    </row>
    <row r="5" customFormat="false" ht="15" hidden="false" customHeight="false" outlineLevel="0" collapsed="false">
      <c r="A5" s="12" t="s">
        <v>3906</v>
      </c>
      <c r="B5" s="12" t="s">
        <v>3917</v>
      </c>
      <c r="C5" s="12" t="s">
        <v>3918</v>
      </c>
      <c r="D5" s="12" t="s">
        <v>3914</v>
      </c>
      <c r="E5" s="12" t="s">
        <v>3919</v>
      </c>
      <c r="F5" s="12"/>
    </row>
    <row r="6" customFormat="false" ht="15" hidden="false" customHeight="false" outlineLevel="0" collapsed="false">
      <c r="A6" s="12" t="s">
        <v>3906</v>
      </c>
      <c r="B6" s="12" t="s">
        <v>3920</v>
      </c>
      <c r="C6" s="12" t="s">
        <v>3918</v>
      </c>
      <c r="D6" s="12" t="s">
        <v>3914</v>
      </c>
      <c r="E6" s="12" t="s">
        <v>3921</v>
      </c>
      <c r="F6" s="12"/>
    </row>
    <row r="7" customFormat="false" ht="15" hidden="false" customHeight="false" outlineLevel="0" collapsed="false">
      <c r="A7" s="12" t="s">
        <v>3906</v>
      </c>
      <c r="B7" s="12" t="s">
        <v>3922</v>
      </c>
      <c r="C7" s="12" t="s">
        <v>3923</v>
      </c>
      <c r="D7" s="12" t="s">
        <v>3924</v>
      </c>
      <c r="E7" s="12" t="s">
        <v>3925</v>
      </c>
      <c r="F7" s="12" t="s">
        <v>3926</v>
      </c>
    </row>
    <row r="8" customFormat="false" ht="15" hidden="false" customHeight="false" outlineLevel="0" collapsed="false">
      <c r="A8" s="12" t="s">
        <v>3927</v>
      </c>
      <c r="B8" s="12" t="s">
        <v>3928</v>
      </c>
      <c r="C8" s="12" t="s">
        <v>3914</v>
      </c>
      <c r="D8" s="12" t="s">
        <v>3914</v>
      </c>
      <c r="E8" s="12" t="s">
        <v>3929</v>
      </c>
      <c r="F8" s="12" t="s">
        <v>3930</v>
      </c>
    </row>
  </sheetData>
  <autoFilter ref="A1:F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9138"/>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7"/>
    <col collapsed="false" customWidth="true" hidden="false" outlineLevel="0" max="3" min="3" style="0" width="50"/>
    <col collapsed="false" customWidth="true" hidden="false" outlineLevel="0" max="4" min="4" style="0" width="55"/>
    <col collapsed="false" customWidth="true" hidden="false" outlineLevel="0" max="5" min="5" style="0" width="26"/>
    <col collapsed="false" customWidth="true" hidden="false" outlineLevel="0" max="6" min="6" style="0" width="80"/>
  </cols>
  <sheetData>
    <row r="1" customFormat="false" ht="31.5" hidden="false" customHeight="true" outlineLevel="0" collapsed="false">
      <c r="A1" s="20" t="s">
        <v>3931</v>
      </c>
      <c r="B1" s="20" t="s">
        <v>3903</v>
      </c>
      <c r="C1" s="20" t="s">
        <v>3932</v>
      </c>
      <c r="D1" s="20" t="s">
        <v>3933</v>
      </c>
      <c r="E1" s="20" t="s">
        <v>3934</v>
      </c>
      <c r="F1" s="20" t="s">
        <v>3935</v>
      </c>
    </row>
    <row r="2" customFormat="false" ht="15" hidden="false" customHeight="false" outlineLevel="0" collapsed="false">
      <c r="A2" s="12" t="n">
        <v>1</v>
      </c>
      <c r="B2" s="12" t="s">
        <v>3936</v>
      </c>
      <c r="C2" s="12" t="s">
        <v>3937</v>
      </c>
      <c r="D2" s="12" t="s">
        <v>3938</v>
      </c>
      <c r="E2" s="12" t="s">
        <v>45</v>
      </c>
      <c r="F2" s="12" t="s">
        <v>3939</v>
      </c>
    </row>
    <row r="3" customFormat="false" ht="15" hidden="false" customHeight="false" outlineLevel="0" collapsed="false">
      <c r="A3" s="12" t="n">
        <v>2</v>
      </c>
      <c r="B3" s="12" t="s">
        <v>3936</v>
      </c>
      <c r="C3" s="12" t="s">
        <v>3940</v>
      </c>
      <c r="D3" s="12" t="s">
        <v>3941</v>
      </c>
      <c r="E3" s="12" t="s">
        <v>3942</v>
      </c>
      <c r="F3" s="12" t="s">
        <v>3943</v>
      </c>
    </row>
    <row r="4" customFormat="false" ht="15" hidden="false" customHeight="false" outlineLevel="0" collapsed="false">
      <c r="A4" s="12" t="n">
        <v>3</v>
      </c>
      <c r="B4" s="12" t="s">
        <v>3936</v>
      </c>
      <c r="C4" s="12" t="s">
        <v>3944</v>
      </c>
      <c r="D4" s="12" t="s">
        <v>3945</v>
      </c>
      <c r="E4" s="12" t="s">
        <v>3946</v>
      </c>
      <c r="F4" s="12" t="s">
        <v>3947</v>
      </c>
    </row>
    <row r="5" customFormat="false" ht="15" hidden="false" customHeight="false" outlineLevel="0" collapsed="false">
      <c r="A5" s="12" t="n">
        <v>4</v>
      </c>
      <c r="B5" s="12" t="s">
        <v>3936</v>
      </c>
      <c r="C5" s="12" t="s">
        <v>3948</v>
      </c>
      <c r="D5" s="12" t="s">
        <v>3949</v>
      </c>
      <c r="E5" s="12" t="s">
        <v>57</v>
      </c>
      <c r="F5" s="12" t="s">
        <v>3950</v>
      </c>
    </row>
    <row r="6" customFormat="false" ht="15" hidden="false" customHeight="false" outlineLevel="0" collapsed="false">
      <c r="A6" s="12" t="n">
        <v>5</v>
      </c>
      <c r="B6" s="12" t="s">
        <v>3936</v>
      </c>
      <c r="C6" s="12" t="s">
        <v>3951</v>
      </c>
      <c r="D6" s="12" t="s">
        <v>3952</v>
      </c>
      <c r="E6" s="12" t="s">
        <v>3953</v>
      </c>
      <c r="F6" s="12" t="s">
        <v>3954</v>
      </c>
    </row>
    <row r="7" customFormat="false" ht="15" hidden="false" customHeight="false" outlineLevel="0" collapsed="false">
      <c r="A7" s="12" t="n">
        <v>6</v>
      </c>
      <c r="B7" s="12" t="s">
        <v>3936</v>
      </c>
      <c r="C7" s="12" t="s">
        <v>3955</v>
      </c>
      <c r="D7" s="12" t="s">
        <v>3956</v>
      </c>
      <c r="E7" s="12" t="s">
        <v>57</v>
      </c>
      <c r="F7" s="12" t="s">
        <v>3957</v>
      </c>
    </row>
    <row r="8" customFormat="false" ht="15" hidden="false" customHeight="false" outlineLevel="0" collapsed="false">
      <c r="A8" s="12" t="n">
        <v>7</v>
      </c>
      <c r="B8" s="12" t="s">
        <v>3936</v>
      </c>
      <c r="C8" s="12" t="s">
        <v>3958</v>
      </c>
      <c r="D8" s="12" t="s">
        <v>3959</v>
      </c>
      <c r="E8" s="12" t="s">
        <v>3914</v>
      </c>
      <c r="F8" s="12" t="s">
        <v>3960</v>
      </c>
    </row>
    <row r="9" customFormat="false" ht="15" hidden="false" customHeight="false" outlineLevel="0" collapsed="false">
      <c r="A9" s="12" t="n">
        <v>8</v>
      </c>
      <c r="B9" s="12" t="s">
        <v>3936</v>
      </c>
      <c r="C9" s="12" t="s">
        <v>3961</v>
      </c>
      <c r="D9" s="12" t="s">
        <v>3962</v>
      </c>
      <c r="E9" s="12" t="s">
        <v>57</v>
      </c>
      <c r="F9" s="12" t="s">
        <v>3963</v>
      </c>
    </row>
    <row r="10" customFormat="false" ht="15" hidden="false" customHeight="false" outlineLevel="0" collapsed="false">
      <c r="A10" s="12" t="n">
        <v>9</v>
      </c>
      <c r="B10" s="12" t="s">
        <v>3936</v>
      </c>
      <c r="C10" s="12" t="s">
        <v>3964</v>
      </c>
      <c r="D10" s="12" t="s">
        <v>3965</v>
      </c>
      <c r="E10" s="12" t="s">
        <v>3914</v>
      </c>
      <c r="F10" s="12" t="s">
        <v>3966</v>
      </c>
    </row>
    <row r="11" customFormat="false" ht="15" hidden="false" customHeight="false" outlineLevel="0" collapsed="false">
      <c r="A11" s="12" t="n">
        <v>10</v>
      </c>
      <c r="B11" s="12" t="s">
        <v>3936</v>
      </c>
      <c r="C11" s="12" t="s">
        <v>3967</v>
      </c>
      <c r="D11" s="12" t="s">
        <v>3968</v>
      </c>
      <c r="E11" s="12" t="s">
        <v>3914</v>
      </c>
      <c r="F11" s="12" t="s">
        <v>3969</v>
      </c>
    </row>
    <row r="12" customFormat="false" ht="15" hidden="false" customHeight="false" outlineLevel="0" collapsed="false">
      <c r="A12" s="12"/>
      <c r="B12" s="12" t="s">
        <v>3970</v>
      </c>
      <c r="C12" s="12" t="s">
        <v>3971</v>
      </c>
      <c r="D12" s="12" t="s">
        <v>3972</v>
      </c>
      <c r="E12" s="12" t="s">
        <v>3973</v>
      </c>
      <c r="F12" s="12"/>
    </row>
    <row r="13" customFormat="false" ht="15" hidden="false" customHeight="false" outlineLevel="0" collapsed="false">
      <c r="A13" s="12"/>
      <c r="B13" s="12" t="s">
        <v>3970</v>
      </c>
      <c r="C13" s="12" t="s">
        <v>3974</v>
      </c>
      <c r="D13" s="12" t="s">
        <v>3975</v>
      </c>
      <c r="E13" s="12" t="s">
        <v>3973</v>
      </c>
      <c r="F13" s="12"/>
    </row>
    <row r="14" customFormat="false" ht="15" hidden="false" customHeight="false" outlineLevel="0" collapsed="false">
      <c r="A14" s="12"/>
      <c r="B14" s="12" t="s">
        <v>3970</v>
      </c>
      <c r="C14" s="12" t="s">
        <v>3976</v>
      </c>
      <c r="D14" s="12" t="s">
        <v>3977</v>
      </c>
      <c r="E14" s="12" t="s">
        <v>3973</v>
      </c>
      <c r="F14" s="12"/>
    </row>
    <row r="15" customFormat="false" ht="15" hidden="false" customHeight="false" outlineLevel="0" collapsed="false">
      <c r="A15" s="12"/>
      <c r="B15" s="12" t="s">
        <v>3970</v>
      </c>
      <c r="C15" s="12" t="s">
        <v>3978</v>
      </c>
      <c r="D15" s="12" t="s">
        <v>3979</v>
      </c>
      <c r="E15" s="12" t="s">
        <v>3973</v>
      </c>
      <c r="F15" s="12"/>
    </row>
    <row r="16" customFormat="false" ht="15" hidden="false" customHeight="false" outlineLevel="0" collapsed="false">
      <c r="A16" s="12"/>
      <c r="B16" s="12" t="s">
        <v>3970</v>
      </c>
      <c r="C16" s="12" t="s">
        <v>3980</v>
      </c>
      <c r="D16" s="12" t="s">
        <v>3981</v>
      </c>
      <c r="E16" s="12" t="s">
        <v>3973</v>
      </c>
      <c r="F16" s="12"/>
    </row>
    <row r="17" customFormat="false" ht="15" hidden="false" customHeight="false" outlineLevel="0" collapsed="false">
      <c r="A17" s="12"/>
      <c r="B17" s="12" t="s">
        <v>3970</v>
      </c>
      <c r="C17" s="12" t="s">
        <v>3982</v>
      </c>
      <c r="D17" s="12" t="s">
        <v>3983</v>
      </c>
      <c r="E17" s="12" t="s">
        <v>3973</v>
      </c>
      <c r="F17" s="12"/>
    </row>
    <row r="18" customFormat="false" ht="15" hidden="false" customHeight="false" outlineLevel="0" collapsed="false">
      <c r="A18" s="12"/>
      <c r="B18" s="12" t="s">
        <v>3970</v>
      </c>
      <c r="C18" s="12" t="s">
        <v>3984</v>
      </c>
      <c r="D18" s="12" t="s">
        <v>3985</v>
      </c>
      <c r="E18" s="12" t="s">
        <v>3973</v>
      </c>
      <c r="F18" s="12"/>
    </row>
    <row r="19" customFormat="false" ht="15" hidden="false" customHeight="false" outlineLevel="0" collapsed="false">
      <c r="A19" s="12"/>
      <c r="B19" s="12" t="s">
        <v>3970</v>
      </c>
      <c r="C19" s="12" t="s">
        <v>3986</v>
      </c>
      <c r="D19" s="12" t="s">
        <v>3987</v>
      </c>
      <c r="E19" s="12" t="s">
        <v>3973</v>
      </c>
      <c r="F19" s="12"/>
    </row>
    <row r="20" customFormat="false" ht="15" hidden="false" customHeight="false" outlineLevel="0" collapsed="false">
      <c r="A20" s="12"/>
      <c r="B20" s="12" t="s">
        <v>3970</v>
      </c>
      <c r="C20" s="12" t="s">
        <v>3988</v>
      </c>
      <c r="D20" s="12" t="s">
        <v>3989</v>
      </c>
      <c r="E20" s="12" t="s">
        <v>3973</v>
      </c>
      <c r="F20" s="12"/>
    </row>
    <row r="21" customFormat="false" ht="15" hidden="false" customHeight="false" outlineLevel="0" collapsed="false">
      <c r="A21" s="12"/>
      <c r="B21" s="12" t="s">
        <v>3970</v>
      </c>
      <c r="C21" s="12" t="s">
        <v>3990</v>
      </c>
      <c r="D21" s="12" t="s">
        <v>3991</v>
      </c>
      <c r="E21" s="12" t="s">
        <v>3973</v>
      </c>
      <c r="F21" s="12"/>
    </row>
    <row r="22" customFormat="false" ht="15" hidden="false" customHeight="false" outlineLevel="0" collapsed="false">
      <c r="A22" s="12"/>
      <c r="B22" s="12" t="s">
        <v>3970</v>
      </c>
      <c r="C22" s="12" t="s">
        <v>3992</v>
      </c>
      <c r="D22" s="12" t="s">
        <v>3993</v>
      </c>
      <c r="E22" s="12" t="s">
        <v>3973</v>
      </c>
      <c r="F22" s="12"/>
    </row>
    <row r="23" customFormat="false" ht="15" hidden="false" customHeight="false" outlineLevel="0" collapsed="false">
      <c r="A23" s="12"/>
      <c r="B23" s="12" t="s">
        <v>3970</v>
      </c>
      <c r="C23" s="12" t="s">
        <v>3994</v>
      </c>
      <c r="D23" s="12" t="s">
        <v>3995</v>
      </c>
      <c r="E23" s="12" t="s">
        <v>3973</v>
      </c>
      <c r="F23" s="12"/>
    </row>
    <row r="24" customFormat="false" ht="15" hidden="false" customHeight="false" outlineLevel="0" collapsed="false">
      <c r="A24" s="12"/>
      <c r="B24" s="12" t="s">
        <v>3970</v>
      </c>
      <c r="C24" s="12" t="s">
        <v>3996</v>
      </c>
      <c r="D24" s="12" t="s">
        <v>3997</v>
      </c>
      <c r="E24" s="12" t="s">
        <v>3973</v>
      </c>
      <c r="F24" s="12"/>
    </row>
    <row r="25" customFormat="false" ht="15" hidden="false" customHeight="false" outlineLevel="0" collapsed="false">
      <c r="A25" s="12"/>
      <c r="B25" s="12" t="s">
        <v>3970</v>
      </c>
      <c r="C25" s="12" t="s">
        <v>3998</v>
      </c>
      <c r="D25" s="12" t="s">
        <v>3999</v>
      </c>
      <c r="E25" s="12" t="s">
        <v>3973</v>
      </c>
      <c r="F25" s="12" t="s">
        <v>4000</v>
      </c>
    </row>
    <row r="26" customFormat="false" ht="15" hidden="false" customHeight="false" outlineLevel="0" collapsed="false">
      <c r="A26" s="12"/>
      <c r="B26" s="12" t="s">
        <v>3970</v>
      </c>
      <c r="C26" s="12" t="s">
        <v>4001</v>
      </c>
      <c r="D26" s="12" t="s">
        <v>4002</v>
      </c>
      <c r="E26" s="12" t="s">
        <v>3973</v>
      </c>
      <c r="F26" s="12"/>
    </row>
    <row r="27" customFormat="false" ht="15" hidden="false" customHeight="false" outlineLevel="0" collapsed="false">
      <c r="A27" s="12"/>
      <c r="B27" s="12" t="s">
        <v>3970</v>
      </c>
      <c r="C27" s="12" t="s">
        <v>4003</v>
      </c>
      <c r="D27" s="12" t="s">
        <v>4004</v>
      </c>
      <c r="E27" s="12" t="s">
        <v>3973</v>
      </c>
      <c r="F27" s="12"/>
    </row>
    <row r="28" customFormat="false" ht="15" hidden="false" customHeight="false" outlineLevel="0" collapsed="false">
      <c r="A28" s="12"/>
      <c r="B28" s="12" t="s">
        <v>3970</v>
      </c>
      <c r="C28" s="12" t="s">
        <v>4005</v>
      </c>
      <c r="D28" s="12" t="s">
        <v>4006</v>
      </c>
      <c r="E28" s="12" t="s">
        <v>3973</v>
      </c>
      <c r="F28" s="12" t="s">
        <v>4000</v>
      </c>
    </row>
  </sheetData>
  <autoFilter ref="A1:F2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2026-10-27T13:34:42Z</dcterms:created>
  <dc:creator>openpyxl</dc:creator>
  <dc:description/>
  <dc:language>en-US</dc:language>
  <cp:lastModifiedBy/>
  <dcterms:modified xsi:type="dcterms:W3CDTF">2026-10-27T13:34:43Z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